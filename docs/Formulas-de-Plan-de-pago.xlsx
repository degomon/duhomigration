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aviles\Desktop\Asesoria\"/>
    </mc:Choice>
  </mc:AlternateContent>
  <xr:revisionPtr revIDLastSave="0" documentId="13_ncr:1_{EC365692-E2EC-4971-9E5A-A57139CEFEE0}" xr6:coauthVersionLast="47" xr6:coauthVersionMax="47" xr10:uidLastSave="{00000000-0000-0000-0000-000000000000}"/>
  <bookViews>
    <workbookView xWindow="-108" yWindow="-108" windowWidth="23256" windowHeight="12456" firstSheet="2" activeTab="4" xr2:uid="{DDBA433F-6209-478D-9EEB-9B831AB39C94}"/>
  </bookViews>
  <sheets>
    <sheet name="Formula" sheetId="1" r:id="rId1"/>
    <sheet name="Plan de pago interes diario" sheetId="2" r:id="rId2"/>
    <sheet name="Cuota nivelada" sheetId="4" r:id="rId3"/>
    <sheet name="Tablas plan de pago 0" sheetId="5" r:id="rId4"/>
    <sheet name="1-Pago anticipado" sheetId="6" r:id="rId5"/>
    <sheet name="2- Pago anticipado" sheetId="7" r:id="rId6"/>
    <sheet name="3-Reglas de negocio" sheetId="8" r:id="rId7"/>
    <sheet name="4-Detalle" sheetId="9" r:id="rId8"/>
    <sheet name="Flujo del pago anticipado" sheetId="10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6" i="1" l="1"/>
  <c r="D25" i="1"/>
  <c r="B14" i="4"/>
  <c r="B13" i="4"/>
  <c r="I14" i="4" s="1"/>
  <c r="I20" i="4" s="1"/>
  <c r="D32" i="2"/>
  <c r="B15" i="4"/>
  <c r="H14" i="4"/>
  <c r="F15" i="4"/>
  <c r="F16" i="4"/>
  <c r="F17" i="4"/>
  <c r="F18" i="4"/>
  <c r="F19" i="4"/>
  <c r="F14" i="4"/>
  <c r="E15" i="4"/>
  <c r="E16" i="4" s="1"/>
  <c r="E17" i="4" s="1"/>
  <c r="E18" i="4" s="1"/>
  <c r="E19" i="4" s="1"/>
  <c r="E14" i="4"/>
  <c r="J13" i="4"/>
  <c r="C6" i="4"/>
  <c r="K44" i="2"/>
  <c r="L37" i="2"/>
  <c r="G38" i="2"/>
  <c r="H38" i="2" s="1"/>
  <c r="D25" i="2"/>
  <c r="D28" i="2" s="1"/>
  <c r="C9" i="2" s="1"/>
  <c r="C7" i="2"/>
  <c r="C8" i="4" l="1"/>
  <c r="G14" i="4"/>
  <c r="K42" i="2"/>
  <c r="K43" i="2"/>
  <c r="K38" i="2"/>
  <c r="K39" i="2"/>
  <c r="K40" i="2"/>
  <c r="K41" i="2"/>
  <c r="J38" i="2"/>
  <c r="G39" i="2"/>
  <c r="J14" i="4" l="1"/>
  <c r="H39" i="2"/>
  <c r="G40" i="2"/>
  <c r="H15" i="4" l="1"/>
  <c r="G41" i="2"/>
  <c r="H40" i="2"/>
  <c r="G15" i="4" l="1"/>
  <c r="G42" i="2"/>
  <c r="H41" i="2"/>
  <c r="J15" i="4" l="1"/>
  <c r="G43" i="2"/>
  <c r="H43" i="2" s="1"/>
  <c r="H42" i="2"/>
  <c r="H16" i="4" l="1"/>
  <c r="G16" i="4" l="1"/>
  <c r="J16" i="4" l="1"/>
  <c r="H17" i="4" s="1"/>
  <c r="G17" i="4" l="1"/>
  <c r="J17" i="4" l="1"/>
  <c r="H18" i="4" l="1"/>
  <c r="G18" i="4" l="1"/>
  <c r="J18" i="4" l="1"/>
  <c r="H19" i="4" l="1"/>
  <c r="G19" i="4" l="1"/>
  <c r="H20" i="4"/>
  <c r="G20" i="4" l="1"/>
  <c r="J19" i="4"/>
  <c r="I38" i="2" l="1"/>
  <c r="L38" i="2" s="1"/>
  <c r="J39" i="2" l="1"/>
  <c r="I39" i="2" l="1"/>
  <c r="L39" i="2" s="1"/>
  <c r="J40" i="2"/>
  <c r="I40" i="2" s="1"/>
  <c r="L40" i="2" s="1"/>
  <c r="J41" i="2" l="1"/>
  <c r="I41" i="2" s="1"/>
  <c r="L41" i="2" s="1"/>
  <c r="J42" i="2" l="1"/>
  <c r="I42" i="2" l="1"/>
  <c r="L42" i="2" s="1"/>
  <c r="J44" i="2"/>
  <c r="J43" i="2"/>
  <c r="I44" i="2" l="1"/>
  <c r="L43" i="2"/>
</calcChain>
</file>

<file path=xl/sharedStrings.xml><?xml version="1.0" encoding="utf-8"?>
<sst xmlns="http://schemas.openxmlformats.org/spreadsheetml/2006/main" count="265" uniqueCount="221">
  <si>
    <t>Detalle</t>
  </si>
  <si>
    <t>Formulas</t>
  </si>
  <si>
    <t>Equivalencia</t>
  </si>
  <si>
    <t>Cáclulo de Intereses Diarios:</t>
  </si>
  <si>
    <t>(Monto_Principal * Tasa_Interes)</t>
  </si>
  <si>
    <t>Fecha_Inicial:</t>
  </si>
  <si>
    <t>Fecha_Credito ó Fecha_Ultimo_Abono</t>
  </si>
  <si>
    <t>X</t>
  </si>
  <si>
    <t>DIAS360</t>
  </si>
  <si>
    <t>Fecha_Inicial</t>
  </si>
  <si>
    <t>,</t>
  </si>
  <si>
    <t>Fecha_Final</t>
  </si>
  <si>
    <t>Fecha_Final:</t>
  </si>
  <si>
    <t>Fecha_hoy ó Fecha_Mora</t>
  </si>
  <si>
    <t>Cáclulo de Interese vencido:</t>
  </si>
  <si>
    <t>Fecha_Mora</t>
  </si>
  <si>
    <t>Fecha_hoy</t>
  </si>
  <si>
    <t>Monto_Mora</t>
  </si>
  <si>
    <t>Sumatoria de Cuotas en Mora</t>
  </si>
  <si>
    <t>Cálculo de Mora:</t>
  </si>
  <si>
    <t>(Monto_Mora * Tasa_Interes)</t>
  </si>
  <si>
    <t>Tasa_Interes</t>
  </si>
  <si>
    <t>Tasa_Interes_Anual</t>
  </si>
  <si>
    <t>Cuota Nivelada Plan de Pago</t>
  </si>
  <si>
    <t>Monto_Total_Crédito</t>
  </si>
  <si>
    <t>((1 + (Tasa_Interes / 100))^(-Cant_Cuotas))</t>
  </si>
  <si>
    <t>(Tasa_Interes / 100)</t>
  </si>
  <si>
    <t>Concepto</t>
  </si>
  <si>
    <t>Valor</t>
  </si>
  <si>
    <t>Capital inicial</t>
  </si>
  <si>
    <t>Tasa anual</t>
  </si>
  <si>
    <t>Tasa diaria</t>
  </si>
  <si>
    <t>Número de pagos diarios</t>
  </si>
  <si>
    <t>Cuota diaria</t>
  </si>
  <si>
    <t>Fecha desembolso</t>
  </si>
  <si>
    <t xml:space="preserve">
Para un pago diario de un crédito a interés diario sobre saldo, la cuota diaria se calcula como:</t>
  </si>
  <si>
    <t>Base de la fórmula</t>
  </si>
  <si>
    <t>Capital Inicial</t>
  </si>
  <si>
    <t>Interés Total</t>
  </si>
  <si>
    <t xml:space="preserve"> monto del préstamo (C$10,000 en el ejemplo)</t>
  </si>
  <si>
    <t>interés calculado sobre el capital para todos los días de pago:</t>
  </si>
  <si>
    <t>Interes Total =</t>
  </si>
  <si>
    <t>Capital inicial x Tasa anual /100  x Números de Días /360</t>
  </si>
  <si>
    <t>Número de pagos</t>
  </si>
  <si>
    <t>Número de pagos diarios (6 días)</t>
  </si>
  <si>
    <t>Paso a paso del ejemplo</t>
  </si>
  <si>
    <t xml:space="preserve">Interes Total  </t>
  </si>
  <si>
    <t>Sumar capital inicial + Interes total</t>
  </si>
  <si>
    <t>Total a pagar</t>
  </si>
  <si>
    <t xml:space="preserve">Obtener la cuota </t>
  </si>
  <si>
    <t>Dividir entre numero de pagos diarios</t>
  </si>
  <si>
    <t xml:space="preserve">Cuota diaria </t>
  </si>
  <si>
    <r>
      <rPr>
        <b/>
        <sz val="11"/>
        <color theme="1"/>
        <rFont val="Calibri"/>
        <family val="2"/>
      </rPr>
      <t>Cuota diaria</t>
    </r>
    <r>
      <rPr>
        <sz val="11"/>
        <color theme="1"/>
        <rFont val="Calibri"/>
        <family val="2"/>
      </rPr>
      <t xml:space="preserve"> = Capital inicia + Interes total /Numeros de pagos</t>
    </r>
  </si>
  <si>
    <t>Plan de pago</t>
  </si>
  <si>
    <t>Número de cuota</t>
  </si>
  <si>
    <t>Fecha</t>
  </si>
  <si>
    <t>Total</t>
  </si>
  <si>
    <t>Días de interes</t>
  </si>
  <si>
    <t>Capital</t>
  </si>
  <si>
    <t>Interes</t>
  </si>
  <si>
    <t>Cuota</t>
  </si>
  <si>
    <t>Saldo</t>
  </si>
  <si>
    <t>Pago Principal</t>
  </si>
  <si>
    <t>Numero cuotas</t>
  </si>
  <si>
    <t>Fechas</t>
  </si>
  <si>
    <t>Dias de interes</t>
  </si>
  <si>
    <t>Usando la Formula de Pago Prin y Pago Int</t>
  </si>
  <si>
    <t>Tablas principales involucradas</t>
  </si>
  <si>
    <t>Tabla</t>
  </si>
  <si>
    <t>Propósito</t>
  </si>
  <si>
    <t>Ejemplo de campos clave</t>
  </si>
  <si>
    <t>Credito</t>
  </si>
  <si>
    <t>Datos generales del préstamo</t>
  </si>
  <si>
    <t>id_credito, id_cliente, monto, tasa, fecha_desembolso, plazo, tipo_cuota</t>
  </si>
  <si>
    <t>PlanPagos</t>
  </si>
  <si>
    <t>Detalle del calendario de cuotas (cuota, interés, capital, saldo)</t>
  </si>
  <si>
    <t>id_plan, id_credito, nro_cuota, fecha_pago, cuota, interes, capital, saldo_final, estado</t>
  </si>
  <si>
    <t>Pagos</t>
  </si>
  <si>
    <t>Movimientos reales de pago del cliente</t>
  </si>
  <si>
    <t>id_pago, id_credito, fecha_pago, monto_pagado, aplicado_a (interes, capital, mora, etc.)</t>
  </si>
  <si>
    <t>Saldos</t>
  </si>
  <si>
    <t>Saldo actual del crédito y sus componentes</t>
  </si>
  <si>
    <t>id_credito, saldo_capital, saldo_interes, saldo_mora</t>
  </si>
  <si>
    <r>
      <t>BitacoraCambios</t>
    </r>
    <r>
      <rPr>
        <sz val="11"/>
        <color theme="1"/>
        <rFont val="Aptos Narrow"/>
        <family val="2"/>
        <scheme val="minor"/>
      </rPr>
      <t xml:space="preserve"> (opcional)</t>
    </r>
  </si>
  <si>
    <t>Registro de recalculos, ajustes o pagos anticipados</t>
  </si>
  <si>
    <t>id_credito, tipo_ajuste, usuario, fecha, detalle</t>
  </si>
  <si>
    <t>Flujo normal del crédito (sin pago extra)</t>
  </si>
  <si>
    <t>1. Al desembolsar:</t>
  </si>
  <si>
    <r>
      <t xml:space="preserve">Se crea el registro en </t>
    </r>
    <r>
      <rPr>
        <b/>
        <sz val="11"/>
        <color theme="1"/>
        <rFont val="Aptos Narrow"/>
        <family val="2"/>
        <scheme val="minor"/>
      </rPr>
      <t>Credito</t>
    </r>
    <r>
      <rPr>
        <sz val="11"/>
        <color theme="1"/>
        <rFont val="Aptos Narrow"/>
        <family val="2"/>
        <scheme val="minor"/>
      </rPr>
      <t>.</t>
    </r>
  </si>
  <si>
    <r>
      <t xml:space="preserve">Se genera la </t>
    </r>
    <r>
      <rPr>
        <b/>
        <sz val="11"/>
        <color theme="1"/>
        <rFont val="Aptos Narrow"/>
        <family val="2"/>
        <scheme val="minor"/>
      </rPr>
      <t>tabla de PlanPagos</t>
    </r>
    <r>
      <rPr>
        <sz val="11"/>
        <color theme="1"/>
        <rFont val="Aptos Narrow"/>
        <family val="2"/>
        <scheme val="minor"/>
      </rPr>
      <t xml:space="preserve"> con 6 filas (una por día).</t>
    </r>
  </si>
  <si>
    <t>Ejemplo:</t>
  </si>
  <si>
    <t>Día</t>
  </si>
  <si>
    <t>Interés</t>
  </si>
  <si>
    <t>Saldo final</t>
  </si>
  <si>
    <t>Plan de Pago</t>
  </si>
  <si>
    <t>Caso de pago anticipado parcial</t>
  </si>
  <si>
    <r>
      <t xml:space="preserve">Supón que el </t>
    </r>
    <r>
      <rPr>
        <b/>
        <sz val="11"/>
        <color theme="1"/>
        <rFont val="Aptos Narrow"/>
        <family val="2"/>
        <scheme val="minor"/>
      </rPr>
      <t>día 3 (08/10/2025)</t>
    </r>
    <r>
      <rPr>
        <sz val="11"/>
        <color theme="1"/>
        <rFont val="Aptos Narrow"/>
        <family val="2"/>
        <scheme val="minor"/>
      </rPr>
      <t xml:space="preserve"> el cliente </t>
    </r>
    <r>
      <rPr>
        <b/>
        <sz val="11"/>
        <color theme="1"/>
        <rFont val="Aptos Narrow"/>
        <family val="2"/>
        <scheme val="minor"/>
      </rPr>
      <t>paga 2,000 NIO</t>
    </r>
    <r>
      <rPr>
        <sz val="11"/>
        <color theme="1"/>
        <rFont val="Aptos Narrow"/>
        <family val="2"/>
        <scheme val="minor"/>
      </rPr>
      <t>, en lugar de 1,695.95.</t>
    </r>
  </si>
  <si>
    <r>
      <t xml:space="preserve">Entonces hay </t>
    </r>
    <r>
      <rPr>
        <b/>
        <sz val="11"/>
        <color theme="1"/>
        <rFont val="Aptos Narrow"/>
        <family val="2"/>
        <scheme val="minor"/>
      </rPr>
      <t>un exceso de 304.05 NIO</t>
    </r>
    <r>
      <rPr>
        <sz val="11"/>
        <color theme="1"/>
        <rFont val="Aptos Narrow"/>
        <family val="2"/>
        <scheme val="minor"/>
      </rPr>
      <t>.</t>
    </r>
  </si>
  <si>
    <t>id_credito = 1001</t>
  </si>
  <si>
    <t>fecha_pago = 2025-10-08</t>
  </si>
  <si>
    <t>monto_pagado = 2000.00</t>
  </si>
  <si>
    <t>aplicado_a_interes = 33.50</t>
  </si>
  <si>
    <t>aplicado_a_capital = 1,662.45 + 304.05 (pago extra)</t>
  </si>
  <si>
    <r>
      <t xml:space="preserve">Registrar el pago en la tabla </t>
    </r>
    <r>
      <rPr>
        <b/>
        <sz val="10"/>
        <color theme="1"/>
        <rFont val="Arial Unicode MS"/>
      </rPr>
      <t>Pagos</t>
    </r>
    <r>
      <rPr>
        <b/>
        <sz val="11"/>
        <color theme="1"/>
        <rFont val="Aptos Narrow"/>
        <family val="2"/>
        <scheme val="minor"/>
      </rPr>
      <t>:</t>
    </r>
  </si>
  <si>
    <r>
      <t xml:space="preserve">Actualizar el saldo en la tabla </t>
    </r>
    <r>
      <rPr>
        <b/>
        <sz val="10"/>
        <color theme="1"/>
        <rFont val="Arial Unicode MS"/>
      </rPr>
      <t>Saldos</t>
    </r>
    <r>
      <rPr>
        <sz val="11"/>
        <color theme="1"/>
        <rFont val="Aptos Narrow"/>
        <family val="2"/>
        <scheme val="minor"/>
      </rPr>
      <t>:</t>
    </r>
  </si>
  <si>
    <r>
      <t xml:space="preserve">Nuevo saldo capital = 10,000 - 1,966.50 = </t>
    </r>
    <r>
      <rPr>
        <b/>
        <sz val="11"/>
        <color theme="1"/>
        <rFont val="Aptos Narrow"/>
        <family val="2"/>
        <scheme val="minor"/>
      </rPr>
      <t>8,033.50</t>
    </r>
  </si>
  <si>
    <t>Datos antes del pago (resultado del plan original):</t>
  </si>
  <si>
    <t>Nº cuota</t>
  </si>
  <si>
    <t>Saldo inicial</t>
  </si>
  <si>
    <t>Cuota (C)</t>
  </si>
  <si>
    <t xml:space="preserve">Interés </t>
  </si>
  <si>
    <t>Resultado inmediato tras el pago:</t>
  </si>
  <si>
    <t>1. Aplica el pago del periodo: interés → cuota → capital → exceso → principal.</t>
  </si>
  <si>
    <t>2. Actualiza saldo actual (como mostramos: C$ 4,733.3604).</t>
  </si>
  <si>
    <t>Paso 2</t>
  </si>
  <si>
    <t>¿Qué hace el sistema si mantienes la cuota nivelada?</t>
  </si>
  <si>
    <t>Escenario cuando el cliente paga el  día 3 el cliente paga C$ 2,000</t>
  </si>
  <si>
    <t>Ahora, en el día 3 el cliente paga C$ 2,000.00:</t>
  </si>
  <si>
    <t>Interés debido en día 3 = C$ 33.4993</t>
  </si>
  <si>
    <t>Parte de capital programada en la cuota = C$ 1,662.4553</t>
  </si>
  <si>
    <t>Cuota programada C = 1,695.9546 → el cliente pagó 2,000, por tanto excedente = 2,000 − 1,695.9546 = C$ 304.0454</t>
  </si>
  <si>
    <t>Este excedente se aplica íntegro a principal.</t>
  </si>
  <si>
    <t>Capital amortizado ese día = 1,662.4553 + 304.0454 = C$ 1,966.5007</t>
  </si>
  <si>
    <t>Nuevo saldo después del pago = 6,699.8611 − 1,966.5007 = C$ 4,733.3604</t>
  </si>
  <si>
    <t>la cuota (C$ 1,695.95) se mantiene para las siguientes fechas. Entonces el sistema:</t>
  </si>
  <si>
    <t>3. Recalcula el plan de amortización restante usando la misma cuota (C) sobre el nuevo saldo y la misma tasa por periodo, repitiendo la cuota hasta que el saldo llegue a 0.</t>
  </si>
  <si>
    <t>Esto generalmente mantiene cuotas iguales y reduce el número de pagos restantes o deja el mismo número con una última cuota menor (dependiendo del tamaño del exceso).</t>
  </si>
  <si>
    <t>Paso 1</t>
  </si>
  <si>
    <t>Próximos pagos (sobre saldo C$ 4,733.3604, misma cuota C):</t>
  </si>
  <si>
    <t>Pago rem. #</t>
  </si>
  <si>
    <t>Interés (saldo×0.5%)</t>
  </si>
  <si>
    <t>Amortización (C − interés)</t>
  </si>
  <si>
    <t>Pago efect. (normal)</t>
  </si>
  <si>
    <t>3 (final)</t>
  </si>
  <si>
    <t>Para implementar esto en un sistema de cartera hay que tocar varias tablas de forma atómica (transacción):</t>
  </si>
  <si>
    <t>UPDATE saldo_capital = saldo_capital − (aplicado_capital_programado + aplicado_capital_extra).</t>
  </si>
  <si>
    <t>Guardar traza: tipo = 'pago_anticipado_parcial', detalle = montos, cuota_mantiene = true, usuario, timestamp, id_nuevo_plan.</t>
  </si>
  <si>
    <t>5. Transaccionalidad y conciliación</t>
  </si>
  <si>
    <t>Todo lo anterior debe ocurrir dentro de una transacción atómica; si falla la regeneración del plan se revierte el pago o se marca como pendiente de reconciliación.</t>
  </si>
  <si>
    <t>6. Campos útiles a mantener por diseño</t>
  </si>
  <si>
    <t>3) Cambios concretos en la base de datos</t>
  </si>
  <si>
    <t>Reglas del negocio</t>
  </si>
  <si>
    <t>El sistema debe aplicar automáticamente los pagos siguiendo este orden jerárquico, asegurando que se priorizan los conceptos más sensibles antes de aplicar al principal:</t>
  </si>
  <si>
    <t>Prioridad</t>
  </si>
  <si>
    <t>Descripción de la aplicación</t>
  </si>
  <si>
    <t>Interés ordinario vencido</t>
  </si>
  <si>
    <t>Se aplica primero al interés generado y no pagado. Si el pago no cubre los intereses, el excedente no pasa a los siguientes rubros.</t>
  </si>
  <si>
    <t>Interés moratorio o mora</t>
  </si>
  <si>
    <t>Si existen intereses por mora (por pagos atrasados o días de retraso), se cubren inmediatamente después del interés ordinario.</t>
  </si>
  <si>
    <t>Cuota programada</t>
  </si>
  <si>
    <t>Se cubre la cuota del período actual (interés + capital del plan). Esto mantiene al día la obligación regular del cliente.</t>
  </si>
  <si>
    <t>Exceso o pago anticipado parcial (extra)</t>
  </si>
  <si>
    <t>Capital (saldo del préstamo)</t>
  </si>
  <si>
    <t>Después de aplicar el exceso, el nuevo saldo capital se recalcula restando la suma amortizada (capital cuota + exceso aplicado).</t>
  </si>
  <si>
    <r>
      <t xml:space="preserve">Si el cliente paga más que la cuota programada, el excedente se aplica </t>
    </r>
    <r>
      <rPr>
        <b/>
        <sz val="11"/>
        <color theme="1"/>
        <rFont val="Calibri"/>
        <family val="2"/>
      </rPr>
      <t>directamente al capital</t>
    </r>
    <r>
      <rPr>
        <sz val="11"/>
        <color theme="1"/>
        <rFont val="Calibri"/>
        <family val="2"/>
      </rPr>
      <t>, reduciendo el saldo. No se reprograma el crédito, solo se recalcula internamente el saldo para el siguiente período.</t>
    </r>
  </si>
  <si>
    <t>Lógica de proceso en pseudocódigo</t>
  </si>
  <si>
    <t>1. monto_pago = monto_recibido</t>
  </si>
  <si>
    <t>2. Si hay interés vencido:</t>
  </si>
  <si>
    <t xml:space="preserve">      aplicar = min(monto_pago, interes_vencido)</t>
  </si>
  <si>
    <t xml:space="preserve">      monto_pago -= aplicar</t>
  </si>
  <si>
    <t xml:space="preserve">      interes_vencido -= aplicar</t>
  </si>
  <si>
    <t>3. Si hay mora:</t>
  </si>
  <si>
    <t xml:space="preserve">      aplicar = min(monto_pago, mora)</t>
  </si>
  <si>
    <t xml:space="preserve">      mora -= aplicar</t>
  </si>
  <si>
    <t>4. Si hay cuota programada del período:</t>
  </si>
  <si>
    <t xml:space="preserve">      aplicar_interes = interés del período actual</t>
  </si>
  <si>
    <t xml:space="preserve">      aplicar_capital = cuota_programada - aplicar_interes</t>
  </si>
  <si>
    <t xml:space="preserve">      monto_pago -= cuota_programada</t>
  </si>
  <si>
    <t xml:space="preserve">      saldo_capital -= aplicar_capital</t>
  </si>
  <si>
    <t>5. Si monto_pago &gt; 0 (excedente):</t>
  </si>
  <si>
    <t xml:space="preserve">      exceso = monto_pago</t>
  </si>
  <si>
    <t xml:space="preserve">      saldo_capital -= exceso</t>
  </si>
  <si>
    <t xml:space="preserve">      monto_pago = 0</t>
  </si>
  <si>
    <t>6. Actualizar:</t>
  </si>
  <si>
    <t xml:space="preserve">      - saldo_capital nuevo</t>
  </si>
  <si>
    <t xml:space="preserve">      - intereses pendientes = 0 si ya se cubrieron</t>
  </si>
  <si>
    <t xml:space="preserve">      - mora = 0 si ya se cubrió</t>
  </si>
  <si>
    <t xml:space="preserve">      - registrar aplicación y recalcular plan si se redujo el saldo</t>
  </si>
  <si>
    <t>Efecto en el sistema</t>
  </si>
  <si>
    <t>Comentario</t>
  </si>
  <si>
    <t>Interés ordinario</t>
  </si>
  <si>
    <t>Se reduce la cuenta de ingresos por interés.</t>
  </si>
  <si>
    <t>Relevante para reportes financieros.</t>
  </si>
  <si>
    <t>Mora</t>
  </si>
  <si>
    <t>Se reduce ingreso por mora y actualiza estado de atraso del crédito.</t>
  </si>
  <si>
    <t>Puede implicar cambio de “vencido” a “vigente”.</t>
  </si>
  <si>
    <r>
      <t xml:space="preserve">Marca la cuota como </t>
    </r>
    <r>
      <rPr>
        <b/>
        <sz val="11"/>
        <color theme="1"/>
        <rFont val="Aptos Narrow"/>
        <family val="2"/>
        <scheme val="minor"/>
      </rPr>
      <t>pagada o parcialmente pagada</t>
    </r>
    <r>
      <rPr>
        <sz val="11"/>
        <color theme="1"/>
        <rFont val="Aptos Narrow"/>
        <family val="2"/>
        <scheme val="minor"/>
      </rPr>
      <t>.</t>
    </r>
  </si>
  <si>
    <r>
      <t xml:space="preserve">Se actualiza </t>
    </r>
    <r>
      <rPr>
        <sz val="10"/>
        <color theme="1"/>
        <rFont val="Arial Unicode MS"/>
      </rPr>
      <t>PlanPagos.estado</t>
    </r>
    <r>
      <rPr>
        <sz val="11"/>
        <color theme="1"/>
        <rFont val="Aptos Narrow"/>
        <family val="2"/>
        <scheme val="minor"/>
      </rPr>
      <t>.</t>
    </r>
  </si>
  <si>
    <t>Exceso aplicado a capital</t>
  </si>
  <si>
    <t>Reduce el saldo del principal.</t>
  </si>
  <si>
    <r>
      <t xml:space="preserve">Genera un evento de </t>
    </r>
    <r>
      <rPr>
        <b/>
        <sz val="11"/>
        <color theme="1"/>
        <rFont val="Aptos Narrow"/>
        <family val="2"/>
        <scheme val="minor"/>
      </rPr>
      <t>pago anticipado parcial</t>
    </r>
    <r>
      <rPr>
        <sz val="11"/>
        <color theme="1"/>
        <rFont val="Aptos Narrow"/>
        <family val="2"/>
        <scheme val="minor"/>
      </rPr>
      <t>.</t>
    </r>
  </si>
  <si>
    <t>Recalculo de saldo</t>
  </si>
  <si>
    <t>Se usa para ajustar el plan de pagos futuro, manteniendo cuota o plazo.</t>
  </si>
  <si>
    <t>Depende de la política del producto.</t>
  </si>
  <si>
    <t>Monto aplicado</t>
  </si>
  <si>
    <t>Descripción</t>
  </si>
  <si>
    <t>Interés del día correspondiente</t>
  </si>
  <si>
    <t>No existía mora pendiente</t>
  </si>
  <si>
    <t>Cuota programada (capital cuota)</t>
  </si>
  <si>
    <t>Parte normal de la cuota</t>
  </si>
  <si>
    <t>Excedente aplicado al principal</t>
  </si>
  <si>
    <t>Pago adicional que reduce saldo</t>
  </si>
  <si>
    <t>Total pago recibido</t>
  </si>
  <si>
    <t>Se registran 4 aplicaciones internas</t>
  </si>
  <si>
    <t>Resultado:</t>
  </si>
  <si>
    <t>Saldo capital antes del pago = C$ 6,699.86</t>
  </si>
  <si>
    <r>
      <t xml:space="preserve">Saldo capital después del pago = </t>
    </r>
    <r>
      <rPr>
        <b/>
        <sz val="11"/>
        <color theme="1"/>
        <rFont val="Aptos Narrow"/>
        <family val="2"/>
        <scheme val="minor"/>
      </rPr>
      <t>C$ 4,733.36</t>
    </r>
  </si>
  <si>
    <r>
      <t xml:space="preserve">Insert: </t>
    </r>
    <r>
      <rPr>
        <sz val="10"/>
        <color theme="1"/>
        <rFont val="Calibri"/>
        <family val="2"/>
      </rPr>
      <t>id_credito</t>
    </r>
    <r>
      <rPr>
        <sz val="11"/>
        <color theme="1"/>
        <rFont val="Calibri"/>
        <family val="2"/>
      </rPr>
      <t xml:space="preserve">, </t>
    </r>
    <r>
      <rPr>
        <sz val="10"/>
        <color theme="1"/>
        <rFont val="Calibri"/>
        <family val="2"/>
      </rPr>
      <t>fecha_pago</t>
    </r>
    <r>
      <rPr>
        <sz val="11"/>
        <color theme="1"/>
        <rFont val="Calibri"/>
        <family val="2"/>
      </rPr>
      <t xml:space="preserve">, </t>
    </r>
    <r>
      <rPr>
        <sz val="10"/>
        <color theme="1"/>
        <rFont val="Calibri"/>
        <family val="2"/>
      </rPr>
      <t>monto_pagado=2000</t>
    </r>
    <r>
      <rPr>
        <sz val="11"/>
        <color theme="1"/>
        <rFont val="Calibri"/>
        <family val="2"/>
      </rPr>
      <t xml:space="preserve">, </t>
    </r>
    <r>
      <rPr>
        <sz val="10"/>
        <color theme="1"/>
        <rFont val="Calibri"/>
        <family val="2"/>
      </rPr>
      <t>aplicado_interes=33.4993</t>
    </r>
    <r>
      <rPr>
        <sz val="11"/>
        <color theme="1"/>
        <rFont val="Calibri"/>
        <family val="2"/>
      </rPr>
      <t xml:space="preserve">, </t>
    </r>
    <r>
      <rPr>
        <sz val="10"/>
        <color theme="1"/>
        <rFont val="Calibri"/>
        <family val="2"/>
      </rPr>
      <t>aplicado_capital_programado=1662.4553</t>
    </r>
    <r>
      <rPr>
        <sz val="11"/>
        <color theme="1"/>
        <rFont val="Calibri"/>
        <family val="2"/>
      </rPr>
      <t xml:space="preserve">, </t>
    </r>
    <r>
      <rPr>
        <sz val="10"/>
        <color theme="1"/>
        <rFont val="Calibri"/>
        <family val="2"/>
      </rPr>
      <t>aplicado_capital_extra=304.0454</t>
    </r>
    <r>
      <rPr>
        <sz val="11"/>
        <color theme="1"/>
        <rFont val="Calibri"/>
        <family val="2"/>
      </rPr>
      <t xml:space="preserve">, </t>
    </r>
    <r>
      <rPr>
        <sz val="10"/>
        <color theme="1"/>
        <rFont val="Calibri"/>
        <family val="2"/>
      </rPr>
      <t>usuario</t>
    </r>
    <r>
      <rPr>
        <sz val="11"/>
        <color theme="1"/>
        <rFont val="Calibri"/>
        <family val="2"/>
      </rPr>
      <t xml:space="preserve">, </t>
    </r>
    <r>
      <rPr>
        <sz val="10"/>
        <color theme="1"/>
        <rFont val="Calibri"/>
        <family val="2"/>
      </rPr>
      <t>referencia</t>
    </r>
    <r>
      <rPr>
        <sz val="11"/>
        <color theme="1"/>
        <rFont val="Calibri"/>
        <family val="2"/>
      </rPr>
      <t xml:space="preserve">, </t>
    </r>
    <r>
      <rPr>
        <sz val="10"/>
        <color theme="1"/>
        <rFont val="Calibri"/>
        <family val="2"/>
      </rPr>
      <t>tipo_pago='anticipado_parcial'</t>
    </r>
    <r>
      <rPr>
        <sz val="11"/>
        <color theme="1"/>
        <rFont val="Calibri"/>
        <family val="2"/>
      </rPr>
      <t>.</t>
    </r>
  </si>
  <si>
    <r>
      <t xml:space="preserve">Opcional: actualizar campo </t>
    </r>
    <r>
      <rPr>
        <sz val="10"/>
        <color theme="1"/>
        <rFont val="Calibri"/>
        <family val="2"/>
      </rPr>
      <t>saldo_interes</t>
    </r>
    <r>
      <rPr>
        <sz val="11"/>
        <color theme="1"/>
        <rFont val="Calibri"/>
        <family val="2"/>
      </rPr>
      <t xml:space="preserve"> si hay intereses acumulados.</t>
    </r>
  </si>
  <si>
    <r>
      <t xml:space="preserve">Marcar cuotas ya pagadas (1..3) como </t>
    </r>
    <r>
      <rPr>
        <sz val="10"/>
        <color theme="1"/>
        <rFont val="Calibri"/>
        <family val="2"/>
      </rPr>
      <t>estado='pagada'</t>
    </r>
    <r>
      <rPr>
        <sz val="11"/>
        <color theme="1"/>
        <rFont val="Calibri"/>
        <family val="2"/>
      </rPr>
      <t xml:space="preserve"> o </t>
    </r>
    <r>
      <rPr>
        <sz val="10"/>
        <color theme="1"/>
        <rFont val="Calibri"/>
        <family val="2"/>
      </rPr>
      <t>estado='recalculada'</t>
    </r>
    <r>
      <rPr>
        <sz val="11"/>
        <color theme="1"/>
        <rFont val="Calibri"/>
        <family val="2"/>
      </rPr>
      <t>.</t>
    </r>
  </si>
  <si>
    <r>
      <t xml:space="preserve">Generar un </t>
    </r>
    <r>
      <rPr>
        <b/>
        <sz val="11"/>
        <color theme="1"/>
        <rFont val="Calibri"/>
        <family val="2"/>
      </rPr>
      <t>nuevo plan de pagos</t>
    </r>
    <r>
      <rPr>
        <sz val="11"/>
        <color theme="1"/>
        <rFont val="Calibri"/>
        <family val="2"/>
      </rPr>
      <t xml:space="preserve"> para el saldo restante usando la </t>
    </r>
    <r>
      <rPr>
        <b/>
        <sz val="11"/>
        <color theme="1"/>
        <rFont val="Calibri"/>
        <family val="2"/>
      </rPr>
      <t>misma cuota C</t>
    </r>
    <r>
      <rPr>
        <sz val="11"/>
        <color theme="1"/>
        <rFont val="Calibri"/>
        <family val="2"/>
      </rPr>
      <t xml:space="preserve">: insertar filas con </t>
    </r>
    <r>
      <rPr>
        <sz val="10"/>
        <color theme="1"/>
        <rFont val="Calibri"/>
        <family val="2"/>
      </rPr>
      <t>nueva_fecha</t>
    </r>
    <r>
      <rPr>
        <sz val="11"/>
        <color theme="1"/>
        <rFont val="Calibri"/>
        <family val="2"/>
      </rPr>
      <t xml:space="preserve">, </t>
    </r>
    <r>
      <rPr>
        <sz val="10"/>
        <color theme="1"/>
        <rFont val="Calibri"/>
        <family val="2"/>
      </rPr>
      <t>cuota=C</t>
    </r>
    <r>
      <rPr>
        <sz val="11"/>
        <color theme="1"/>
        <rFont val="Calibri"/>
        <family val="2"/>
      </rPr>
      <t xml:space="preserve">, </t>
    </r>
    <r>
      <rPr>
        <sz val="10"/>
        <color theme="1"/>
        <rFont val="Calibri"/>
        <family val="2"/>
      </rPr>
      <t>interes_calculado</t>
    </r>
    <r>
      <rPr>
        <sz val="11"/>
        <color theme="1"/>
        <rFont val="Calibri"/>
        <family val="2"/>
      </rPr>
      <t xml:space="preserve">, </t>
    </r>
    <r>
      <rPr>
        <sz val="10"/>
        <color theme="1"/>
        <rFont val="Calibri"/>
        <family val="2"/>
      </rPr>
      <t>capital_calculado</t>
    </r>
    <r>
      <rPr>
        <sz val="11"/>
        <color theme="1"/>
        <rFont val="Calibri"/>
        <family val="2"/>
      </rPr>
      <t>.</t>
    </r>
  </si>
  <si>
    <r>
      <t xml:space="preserve">Si el número de cuotas se reduce, reflejar el nuevo </t>
    </r>
    <r>
      <rPr>
        <sz val="10"/>
        <color theme="1"/>
        <rFont val="Calibri"/>
        <family val="2"/>
      </rPr>
      <t>nro_cuota</t>
    </r>
    <r>
      <rPr>
        <sz val="11"/>
        <color theme="1"/>
        <rFont val="Calibri"/>
        <family val="2"/>
      </rPr>
      <t xml:space="preserve"> y </t>
    </r>
    <r>
      <rPr>
        <sz val="10"/>
        <color theme="1"/>
        <rFont val="Calibri"/>
        <family val="2"/>
      </rPr>
      <t>fecha_fin_estimada</t>
    </r>
    <r>
      <rPr>
        <sz val="11"/>
        <color theme="1"/>
        <rFont val="Calibri"/>
        <family val="2"/>
      </rPr>
      <t xml:space="preserve"> en la tabla </t>
    </r>
    <r>
      <rPr>
        <sz val="10"/>
        <color theme="1"/>
        <rFont val="Calibri"/>
        <family val="2"/>
      </rPr>
      <t>Credito</t>
    </r>
    <r>
      <rPr>
        <sz val="11"/>
        <color theme="1"/>
        <rFont val="Calibri"/>
        <family val="2"/>
      </rPr>
      <t>.</t>
    </r>
  </si>
  <si>
    <r>
      <t>plan_version</t>
    </r>
    <r>
      <rPr>
        <sz val="11"/>
        <color theme="1"/>
        <rFont val="Calibri"/>
        <family val="2"/>
      </rPr>
      <t xml:space="preserve"> en </t>
    </r>
    <r>
      <rPr>
        <sz val="10"/>
        <color theme="1"/>
        <rFont val="Calibri"/>
        <family val="2"/>
      </rPr>
      <t>PlanPagos</t>
    </r>
    <r>
      <rPr>
        <sz val="11"/>
        <color theme="1"/>
        <rFont val="Calibri"/>
        <family val="2"/>
      </rPr>
      <t xml:space="preserve"> (para mantener versiones históricas), </t>
    </r>
    <r>
      <rPr>
        <sz val="10"/>
        <color theme="1"/>
        <rFont val="Calibri"/>
        <family val="2"/>
      </rPr>
      <t>fecha_recalculo</t>
    </r>
    <r>
      <rPr>
        <sz val="11"/>
        <color theme="1"/>
        <rFont val="Calibri"/>
        <family val="2"/>
      </rPr>
      <t xml:space="preserve">, </t>
    </r>
    <r>
      <rPr>
        <sz val="10"/>
        <color theme="1"/>
        <rFont val="Calibri"/>
        <family val="2"/>
      </rPr>
      <t>usuario_recalculo</t>
    </r>
    <r>
      <rPr>
        <sz val="11"/>
        <color theme="1"/>
        <rFont val="Calibri"/>
        <family val="2"/>
      </rPr>
      <t xml:space="preserve">, </t>
    </r>
    <r>
      <rPr>
        <sz val="10"/>
        <color theme="1"/>
        <rFont val="Calibri"/>
        <family val="2"/>
      </rPr>
      <t>motivo_recalculo</t>
    </r>
    <r>
      <rPr>
        <sz val="11"/>
        <color theme="1"/>
        <rFont val="Calibri"/>
        <family val="2"/>
      </rPr>
      <t xml:space="preserve">, </t>
    </r>
    <r>
      <rPr>
        <sz val="10"/>
        <color theme="1"/>
        <rFont val="Calibri"/>
        <family val="2"/>
      </rPr>
      <t>saldo_al_recalculo</t>
    </r>
    <r>
      <rPr>
        <sz val="11"/>
        <color theme="1"/>
        <rFont val="Calibri"/>
        <family val="2"/>
      </rPr>
      <t>.</t>
    </r>
  </si>
  <si>
    <t>1. Tabla Pagos (registro del movimiento real)</t>
  </si>
  <si>
    <t>2. Tabla Saldos o Credito (saldo corriente)</t>
  </si>
  <si>
    <t>3. Tabla PlanPagos (amortización programada)</t>
  </si>
  <si>
    <t>4. Tabla BitacoraCambios / Recalculaciones</t>
  </si>
  <si>
    <t>(esto aplica la  regla: primero cubrir interés del periodo, luego la parte de capital programada; el sobrante → principal)</t>
  </si>
  <si>
    <t>Se usan dos cuotas completas más y una última cuota menor (C$ 1,387.33) para cerrar el crédito.</t>
  </si>
  <si>
    <t>Es decir: tras el pago extra el cliente termina pagando 3 cuotas más (la última menor) en vez de las 3 cuotas completas originalmente previstas; en la práctica el préstamo se paga ligeramente antes o con una última cuota ajustada.</t>
  </si>
  <si>
    <t>C$ 1,387.3256 (ajustada)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</si>
</sst>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6" formatCode="&quot;C$&quot;#,##0;[Red]\-&quot;C$&quot;#,##0"/>
    <numFmt numFmtId="8" formatCode="&quot;C$&quot;#,##0.00;[Red]\-&quot;C$&quot;#,##0.00"/>
    <numFmt numFmtId="44" formatCode="_-&quot;C$&quot;* #,##0.00_-;\-&quot;C$&quot;* #,##0.00_-;_-&quot;C$&quot;* &quot;-&quot;??_-;_-@_-"/>
    <numFmt numFmtId="164" formatCode="&quot;C$&quot;#,##0.00"/>
    <numFmt numFmtId="165" formatCode="&quot;C$&quot;#,##0.0;[Red]\-&quot;C$&quot;#,##0.0"/>
  </numFmts>
  <fonts count="17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theme="0"/>
      <name val="Calibri"/>
      <family val="2"/>
    </font>
    <font>
      <b/>
      <sz val="11"/>
      <color theme="0"/>
      <name val="Calibri"/>
      <family val="2"/>
    </font>
    <font>
      <b/>
      <sz val="18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0"/>
      <color theme="1"/>
      <name val="Arial Unicode MS"/>
    </font>
    <font>
      <b/>
      <sz val="10"/>
      <color theme="1"/>
      <name val="Arial Unicode MS"/>
    </font>
    <font>
      <b/>
      <sz val="22"/>
      <color theme="1"/>
      <name val="Calibri"/>
      <family val="2"/>
    </font>
    <font>
      <sz val="14"/>
      <color theme="0"/>
      <name val="Aptos Narrow"/>
      <family val="2"/>
      <scheme val="minor"/>
    </font>
    <font>
      <sz val="10"/>
      <color theme="1"/>
      <name val="Calibri"/>
      <family val="2"/>
    </font>
    <font>
      <b/>
      <sz val="18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/>
      </patternFill>
    </fill>
  </fills>
  <borders count="2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4" fillId="2" borderId="0" applyNumberFormat="0" applyBorder="0" applyAlignment="0" applyProtection="0"/>
  </cellStyleXfs>
  <cellXfs count="85">
    <xf numFmtId="0" fontId="0" fillId="0" borderId="0" xfId="0"/>
    <xf numFmtId="0" fontId="4" fillId="2" borderId="1" xfId="2" applyBorder="1" applyAlignment="1">
      <alignment horizontal="center" vertical="center"/>
    </xf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0" xfId="0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/>
    <xf numFmtId="0" fontId="0" fillId="0" borderId="9" xfId="0" applyBorder="1"/>
    <xf numFmtId="0" fontId="0" fillId="0" borderId="11" xfId="0" applyBorder="1"/>
    <xf numFmtId="0" fontId="0" fillId="0" borderId="12" xfId="0" applyBorder="1"/>
    <xf numFmtId="0" fontId="0" fillId="0" borderId="14" xfId="0" applyBorder="1" applyAlignment="1">
      <alignment horizontal="center" vertical="center"/>
    </xf>
    <xf numFmtId="0" fontId="0" fillId="0" borderId="15" xfId="0" applyBorder="1"/>
    <xf numFmtId="0" fontId="0" fillId="0" borderId="14" xfId="0" applyBorder="1"/>
    <xf numFmtId="0" fontId="0" fillId="0" borderId="16" xfId="0" applyBorder="1"/>
    <xf numFmtId="0" fontId="5" fillId="0" borderId="0" xfId="0" applyFont="1"/>
    <xf numFmtId="0" fontId="5" fillId="0" borderId="17" xfId="0" applyFont="1" applyBorder="1" applyAlignment="1">
      <alignment vertical="center" wrapText="1"/>
    </xf>
    <xf numFmtId="6" fontId="5" fillId="0" borderId="17" xfId="0" applyNumberFormat="1" applyFont="1" applyBorder="1" applyAlignment="1">
      <alignment vertical="center" wrapText="1"/>
    </xf>
    <xf numFmtId="14" fontId="5" fillId="0" borderId="17" xfId="0" applyNumberFormat="1" applyFont="1" applyBorder="1" applyAlignment="1">
      <alignment vertical="center" wrapText="1"/>
    </xf>
    <xf numFmtId="0" fontId="5" fillId="0" borderId="17" xfId="0" applyFont="1" applyBorder="1"/>
    <xf numFmtId="0" fontId="4" fillId="2" borderId="17" xfId="2" applyBorder="1"/>
    <xf numFmtId="0" fontId="5" fillId="0" borderId="0" xfId="0" applyFont="1" applyAlignment="1">
      <alignment horizontal="center" wrapText="1"/>
    </xf>
    <xf numFmtId="0" fontId="0" fillId="0" borderId="17" xfId="0" applyBorder="1"/>
    <xf numFmtId="0" fontId="4" fillId="2" borderId="17" xfId="2" applyBorder="1" applyAlignment="1">
      <alignment horizontal="center" vertical="center" wrapText="1"/>
    </xf>
    <xf numFmtId="0" fontId="6" fillId="0" borderId="0" xfId="0" applyFont="1"/>
    <xf numFmtId="0" fontId="6" fillId="0" borderId="17" xfId="0" applyFont="1" applyBorder="1"/>
    <xf numFmtId="6" fontId="5" fillId="0" borderId="17" xfId="0" applyNumberFormat="1" applyFont="1" applyBorder="1"/>
    <xf numFmtId="164" fontId="5" fillId="0" borderId="17" xfId="0" applyNumberFormat="1" applyFont="1" applyBorder="1"/>
    <xf numFmtId="0" fontId="5" fillId="0" borderId="0" xfId="0" applyFont="1" applyAlignment="1">
      <alignment vertical="center"/>
    </xf>
    <xf numFmtId="0" fontId="5" fillId="0" borderId="17" xfId="0" applyFont="1" applyBorder="1" applyAlignment="1">
      <alignment horizontal="left" vertical="top" wrapText="1"/>
    </xf>
    <xf numFmtId="164" fontId="5" fillId="0" borderId="17" xfId="0" applyNumberFormat="1" applyFont="1" applyBorder="1" applyAlignment="1">
      <alignment vertical="center" wrapText="1"/>
    </xf>
    <xf numFmtId="14" fontId="5" fillId="0" borderId="17" xfId="0" applyNumberFormat="1" applyFont="1" applyBorder="1"/>
    <xf numFmtId="1" fontId="5" fillId="0" borderId="17" xfId="0" applyNumberFormat="1" applyFont="1" applyBorder="1"/>
    <xf numFmtId="0" fontId="5" fillId="0" borderId="19" xfId="0" applyFont="1" applyBorder="1"/>
    <xf numFmtId="0" fontId="2" fillId="2" borderId="18" xfId="2" applyFont="1" applyBorder="1"/>
    <xf numFmtId="9" fontId="5" fillId="0" borderId="17" xfId="1" applyFont="1" applyBorder="1" applyAlignment="1">
      <alignment vertical="center" wrapText="1"/>
    </xf>
    <xf numFmtId="10" fontId="5" fillId="0" borderId="17" xfId="1" applyNumberFormat="1" applyFont="1" applyBorder="1" applyAlignment="1">
      <alignment vertical="center" wrapText="1"/>
    </xf>
    <xf numFmtId="2" fontId="5" fillId="0" borderId="17" xfId="0" applyNumberFormat="1" applyFont="1" applyBorder="1"/>
    <xf numFmtId="2" fontId="0" fillId="0" borderId="0" xfId="0" applyNumberFormat="1"/>
    <xf numFmtId="8" fontId="5" fillId="0" borderId="0" xfId="0" applyNumberFormat="1" applyFont="1"/>
    <xf numFmtId="0" fontId="7" fillId="2" borderId="17" xfId="2" applyFont="1" applyBorder="1" applyAlignment="1">
      <alignment horizontal="center" vertical="center" wrapText="1"/>
    </xf>
    <xf numFmtId="0" fontId="8" fillId="2" borderId="17" xfId="2" applyFont="1" applyBorder="1"/>
    <xf numFmtId="8" fontId="5" fillId="0" borderId="17" xfId="0" applyNumberFormat="1" applyFont="1" applyBorder="1"/>
    <xf numFmtId="165" fontId="5" fillId="0" borderId="17" xfId="0" applyNumberFormat="1" applyFont="1" applyBorder="1"/>
    <xf numFmtId="44" fontId="5" fillId="0" borderId="17" xfId="0" applyNumberFormat="1" applyFont="1" applyBorder="1"/>
    <xf numFmtId="44" fontId="5" fillId="0" borderId="0" xfId="0" applyNumberFormat="1" applyFont="1"/>
    <xf numFmtId="0" fontId="4" fillId="2" borderId="2" xfId="2" applyBorder="1" applyAlignment="1">
      <alignment horizontal="center" vertical="center"/>
    </xf>
    <xf numFmtId="0" fontId="4" fillId="2" borderId="3" xfId="2" applyBorder="1" applyAlignment="1">
      <alignment horizontal="center" vertical="center"/>
    </xf>
    <xf numFmtId="0" fontId="4" fillId="2" borderId="4" xfId="2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4" fillId="2" borderId="0" xfId="2" applyAlignment="1">
      <alignment horizontal="center"/>
    </xf>
    <xf numFmtId="0" fontId="3" fillId="0" borderId="0" xfId="0" applyFont="1"/>
    <xf numFmtId="0" fontId="3" fillId="0" borderId="17" xfId="0" applyFont="1" applyBorder="1" applyAlignment="1">
      <alignment vertical="center" wrapText="1"/>
    </xf>
    <xf numFmtId="0" fontId="0" fillId="0" borderId="17" xfId="0" applyBorder="1" applyAlignment="1">
      <alignment vertical="center" wrapText="1"/>
    </xf>
    <xf numFmtId="0" fontId="2" fillId="2" borderId="17" xfId="2" applyFont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3" fillId="0" borderId="0" xfId="0" applyFont="1" applyAlignment="1">
      <alignment horizontal="left" vertical="center" indent="1"/>
    </xf>
    <xf numFmtId="0" fontId="0" fillId="0" borderId="0" xfId="0" applyAlignment="1">
      <alignment horizontal="left" vertical="center" indent="2"/>
    </xf>
    <xf numFmtId="14" fontId="0" fillId="0" borderId="17" xfId="0" applyNumberFormat="1" applyBorder="1" applyAlignment="1">
      <alignment vertical="center" wrapText="1"/>
    </xf>
    <xf numFmtId="4" fontId="0" fillId="0" borderId="17" xfId="0" applyNumberFormat="1" applyBorder="1" applyAlignment="1">
      <alignment vertical="center" wrapText="1"/>
    </xf>
    <xf numFmtId="0" fontId="10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5" fillId="0" borderId="17" xfId="0" applyFont="1" applyBorder="1" applyAlignment="1">
      <alignment horizontal="right" vertical="center" wrapText="1"/>
    </xf>
    <xf numFmtId="4" fontId="5" fillId="0" borderId="17" xfId="0" applyNumberFormat="1" applyFont="1" applyBorder="1" applyAlignment="1">
      <alignment horizontal="right" vertical="center" wrapText="1"/>
    </xf>
    <xf numFmtId="0" fontId="8" fillId="2" borderId="17" xfId="2" applyFont="1" applyBorder="1" applyAlignment="1">
      <alignment horizontal="center" vertical="center" wrapText="1"/>
    </xf>
    <xf numFmtId="0" fontId="8" fillId="2" borderId="17" xfId="2" applyFont="1" applyBorder="1" applyAlignment="1">
      <alignment horizontal="left" vertical="center" wrapText="1"/>
    </xf>
    <xf numFmtId="0" fontId="6" fillId="0" borderId="17" xfId="0" applyFont="1" applyBorder="1" applyAlignment="1">
      <alignment horizontal="center" vertical="center" wrapText="1"/>
    </xf>
    <xf numFmtId="0" fontId="6" fillId="0" borderId="17" xfId="0" applyFont="1" applyBorder="1" applyAlignment="1">
      <alignment horizontal="left" vertical="center" wrapText="1"/>
    </xf>
    <xf numFmtId="0" fontId="5" fillId="0" borderId="17" xfId="0" applyFont="1" applyBorder="1" applyAlignment="1">
      <alignment horizontal="left" vertical="center" wrapText="1"/>
    </xf>
    <xf numFmtId="0" fontId="14" fillId="2" borderId="17" xfId="2" applyFont="1" applyBorder="1"/>
    <xf numFmtId="4" fontId="3" fillId="0" borderId="17" xfId="0" applyNumberFormat="1" applyFont="1" applyBorder="1" applyAlignment="1">
      <alignment vertical="center" wrapText="1"/>
    </xf>
    <xf numFmtId="0" fontId="3" fillId="0" borderId="17" xfId="0" applyFont="1" applyBorder="1"/>
    <xf numFmtId="0" fontId="7" fillId="2" borderId="17" xfId="2" applyFont="1" applyBorder="1" applyAlignment="1">
      <alignment horizontal="right" vertical="center" wrapText="1"/>
    </xf>
    <xf numFmtId="0" fontId="7" fillId="2" borderId="0" xfId="2" applyFont="1"/>
    <xf numFmtId="0" fontId="5" fillId="0" borderId="0" xfId="0" applyFont="1" applyAlignment="1">
      <alignment horizontal="left" vertical="center" indent="1"/>
    </xf>
    <xf numFmtId="0" fontId="5" fillId="0" borderId="0" xfId="0" applyFont="1" applyAlignment="1">
      <alignment horizontal="left" vertical="center" indent="2"/>
    </xf>
    <xf numFmtId="0" fontId="4" fillId="2" borderId="17" xfId="2" applyBorder="1" applyAlignment="1">
      <alignment horizontal="left" vertical="center" indent="1"/>
    </xf>
    <xf numFmtId="0" fontId="5" fillId="0" borderId="17" xfId="0" applyFont="1" applyBorder="1" applyAlignment="1">
      <alignment horizontal="left" vertical="center" indent="2"/>
    </xf>
    <xf numFmtId="0" fontId="15" fillId="0" borderId="17" xfId="0" applyFont="1" applyBorder="1" applyAlignment="1">
      <alignment horizontal="left" vertical="center" indent="2"/>
    </xf>
    <xf numFmtId="0" fontId="16" fillId="0" borderId="0" xfId="0" applyFont="1" applyAlignment="1">
      <alignment vertical="center"/>
    </xf>
    <xf numFmtId="0" fontId="5" fillId="0" borderId="0" xfId="0" applyFont="1" applyBorder="1" applyAlignment="1">
      <alignment horizontal="right" vertical="center" wrapText="1"/>
    </xf>
    <xf numFmtId="4" fontId="5" fillId="0" borderId="0" xfId="0" applyNumberFormat="1" applyFont="1" applyBorder="1" applyAlignment="1">
      <alignment horizontal="right" vertical="center" wrapText="1"/>
    </xf>
    <xf numFmtId="0" fontId="6" fillId="0" borderId="0" xfId="0" applyFont="1" applyBorder="1" applyAlignment="1">
      <alignment horizontal="right" vertical="center" wrapText="1"/>
    </xf>
  </cellXfs>
  <cellStyles count="3">
    <cellStyle name="Énfasis1" xfId="2" builtinId="29"/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541020</xdr:colOff>
      <xdr:row>6</xdr:row>
      <xdr:rowOff>0</xdr:rowOff>
    </xdr:from>
    <xdr:to>
      <xdr:col>2</xdr:col>
      <xdr:colOff>2499360</xdr:colOff>
      <xdr:row>6</xdr:row>
      <xdr:rowOff>0</xdr:rowOff>
    </xdr:to>
    <xdr:cxnSp macro="">
      <xdr:nvCxnSpPr>
        <xdr:cNvPr id="2" name="Conector recto 1">
          <a:extLst>
            <a:ext uri="{FF2B5EF4-FFF2-40B4-BE49-F238E27FC236}">
              <a16:creationId xmlns:a16="http://schemas.microsoft.com/office/drawing/2014/main" id="{C01E46B5-7153-461E-8FC4-812534F34C89}"/>
            </a:ext>
          </a:extLst>
        </xdr:cNvPr>
        <xdr:cNvCxnSpPr/>
      </xdr:nvCxnSpPr>
      <xdr:spPr>
        <a:xfrm>
          <a:off x="3825240" y="929640"/>
          <a:ext cx="1958340" cy="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541020</xdr:colOff>
      <xdr:row>7</xdr:row>
      <xdr:rowOff>7620</xdr:rowOff>
    </xdr:from>
    <xdr:to>
      <xdr:col>2</xdr:col>
      <xdr:colOff>2499360</xdr:colOff>
      <xdr:row>7</xdr:row>
      <xdr:rowOff>7620</xdr:rowOff>
    </xdr:to>
    <xdr:cxnSp macro="">
      <xdr:nvCxnSpPr>
        <xdr:cNvPr id="3" name="Conector recto 2">
          <a:extLst>
            <a:ext uri="{FF2B5EF4-FFF2-40B4-BE49-F238E27FC236}">
              <a16:creationId xmlns:a16="http://schemas.microsoft.com/office/drawing/2014/main" id="{DED7302F-67A9-463D-ABB3-A32966062DBF}"/>
            </a:ext>
          </a:extLst>
        </xdr:cNvPr>
        <xdr:cNvCxnSpPr/>
      </xdr:nvCxnSpPr>
      <xdr:spPr>
        <a:xfrm>
          <a:off x="3825240" y="1120140"/>
          <a:ext cx="1958340" cy="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426720</xdr:colOff>
      <xdr:row>4</xdr:row>
      <xdr:rowOff>152400</xdr:rowOff>
    </xdr:from>
    <xdr:to>
      <xdr:col>2</xdr:col>
      <xdr:colOff>2621280</xdr:colOff>
      <xdr:row>8</xdr:row>
      <xdr:rowOff>0</xdr:rowOff>
    </xdr:to>
    <xdr:sp macro="" textlink="">
      <xdr:nvSpPr>
        <xdr:cNvPr id="4" name="Corchetes 3">
          <a:extLst>
            <a:ext uri="{FF2B5EF4-FFF2-40B4-BE49-F238E27FC236}">
              <a16:creationId xmlns:a16="http://schemas.microsoft.com/office/drawing/2014/main" id="{346070FA-D10C-4C50-ACF0-B2ED2B43AE22}"/>
            </a:ext>
          </a:extLst>
        </xdr:cNvPr>
        <xdr:cNvSpPr/>
      </xdr:nvSpPr>
      <xdr:spPr>
        <a:xfrm>
          <a:off x="3710940" y="716280"/>
          <a:ext cx="2194560" cy="579120"/>
        </a:xfrm>
        <a:prstGeom prst="bracketPair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579120</xdr:colOff>
      <xdr:row>4</xdr:row>
      <xdr:rowOff>152400</xdr:rowOff>
    </xdr:from>
    <xdr:to>
      <xdr:col>7</xdr:col>
      <xdr:colOff>777240</xdr:colOff>
      <xdr:row>8</xdr:row>
      <xdr:rowOff>0</xdr:rowOff>
    </xdr:to>
    <xdr:sp macro="" textlink="">
      <xdr:nvSpPr>
        <xdr:cNvPr id="5" name="Corchetes 4">
          <a:extLst>
            <a:ext uri="{FF2B5EF4-FFF2-40B4-BE49-F238E27FC236}">
              <a16:creationId xmlns:a16="http://schemas.microsoft.com/office/drawing/2014/main" id="{9B8E4C6F-5E10-49AD-9E77-075E1049DBE0}"/>
            </a:ext>
          </a:extLst>
        </xdr:cNvPr>
        <xdr:cNvSpPr/>
      </xdr:nvSpPr>
      <xdr:spPr>
        <a:xfrm>
          <a:off x="7383780" y="716280"/>
          <a:ext cx="2575560" cy="579120"/>
        </a:xfrm>
        <a:prstGeom prst="bracketPair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541020</xdr:colOff>
      <xdr:row>11</xdr:row>
      <xdr:rowOff>0</xdr:rowOff>
    </xdr:from>
    <xdr:to>
      <xdr:col>2</xdr:col>
      <xdr:colOff>2499360</xdr:colOff>
      <xdr:row>11</xdr:row>
      <xdr:rowOff>0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8B4F6696-7993-463B-972A-D2703C037203}"/>
            </a:ext>
          </a:extLst>
        </xdr:cNvPr>
        <xdr:cNvCxnSpPr/>
      </xdr:nvCxnSpPr>
      <xdr:spPr>
        <a:xfrm>
          <a:off x="3825240" y="1844040"/>
          <a:ext cx="1958340" cy="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541020</xdr:colOff>
      <xdr:row>12</xdr:row>
      <xdr:rowOff>7620</xdr:rowOff>
    </xdr:from>
    <xdr:to>
      <xdr:col>2</xdr:col>
      <xdr:colOff>2499360</xdr:colOff>
      <xdr:row>12</xdr:row>
      <xdr:rowOff>7620</xdr:rowOff>
    </xdr:to>
    <xdr:cxnSp macro="">
      <xdr:nvCxnSpPr>
        <xdr:cNvPr id="7" name="Conector recto 6">
          <a:extLst>
            <a:ext uri="{FF2B5EF4-FFF2-40B4-BE49-F238E27FC236}">
              <a16:creationId xmlns:a16="http://schemas.microsoft.com/office/drawing/2014/main" id="{4687F507-E898-4B6B-8AB3-7A05D4A04D3A}"/>
            </a:ext>
          </a:extLst>
        </xdr:cNvPr>
        <xdr:cNvCxnSpPr/>
      </xdr:nvCxnSpPr>
      <xdr:spPr>
        <a:xfrm>
          <a:off x="3825240" y="2034540"/>
          <a:ext cx="1958340" cy="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426720</xdr:colOff>
      <xdr:row>9</xdr:row>
      <xdr:rowOff>152400</xdr:rowOff>
    </xdr:from>
    <xdr:to>
      <xdr:col>2</xdr:col>
      <xdr:colOff>2621280</xdr:colOff>
      <xdr:row>13</xdr:row>
      <xdr:rowOff>0</xdr:rowOff>
    </xdr:to>
    <xdr:sp macro="" textlink="">
      <xdr:nvSpPr>
        <xdr:cNvPr id="8" name="Corchetes 7">
          <a:extLst>
            <a:ext uri="{FF2B5EF4-FFF2-40B4-BE49-F238E27FC236}">
              <a16:creationId xmlns:a16="http://schemas.microsoft.com/office/drawing/2014/main" id="{233B75EC-6C6D-4360-B919-ED1A4C041727}"/>
            </a:ext>
          </a:extLst>
        </xdr:cNvPr>
        <xdr:cNvSpPr/>
      </xdr:nvSpPr>
      <xdr:spPr>
        <a:xfrm>
          <a:off x="3710940" y="1630680"/>
          <a:ext cx="2194560" cy="579120"/>
        </a:xfrm>
        <a:prstGeom prst="bracketPair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579120</xdr:colOff>
      <xdr:row>9</xdr:row>
      <xdr:rowOff>152400</xdr:rowOff>
    </xdr:from>
    <xdr:to>
      <xdr:col>7</xdr:col>
      <xdr:colOff>777240</xdr:colOff>
      <xdr:row>13</xdr:row>
      <xdr:rowOff>0</xdr:rowOff>
    </xdr:to>
    <xdr:sp macro="" textlink="">
      <xdr:nvSpPr>
        <xdr:cNvPr id="9" name="Corchetes 8">
          <a:extLst>
            <a:ext uri="{FF2B5EF4-FFF2-40B4-BE49-F238E27FC236}">
              <a16:creationId xmlns:a16="http://schemas.microsoft.com/office/drawing/2014/main" id="{10A50277-6BB9-4E81-A385-8A6FBA717250}"/>
            </a:ext>
          </a:extLst>
        </xdr:cNvPr>
        <xdr:cNvSpPr/>
      </xdr:nvSpPr>
      <xdr:spPr>
        <a:xfrm>
          <a:off x="7383780" y="1630680"/>
          <a:ext cx="2575560" cy="579120"/>
        </a:xfrm>
        <a:prstGeom prst="bracketPair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541020</xdr:colOff>
      <xdr:row>16</xdr:row>
      <xdr:rowOff>0</xdr:rowOff>
    </xdr:from>
    <xdr:to>
      <xdr:col>2</xdr:col>
      <xdr:colOff>2499360</xdr:colOff>
      <xdr:row>16</xdr:row>
      <xdr:rowOff>0</xdr:rowOff>
    </xdr:to>
    <xdr:cxnSp macro="">
      <xdr:nvCxnSpPr>
        <xdr:cNvPr id="10" name="Conector recto 9">
          <a:extLst>
            <a:ext uri="{FF2B5EF4-FFF2-40B4-BE49-F238E27FC236}">
              <a16:creationId xmlns:a16="http://schemas.microsoft.com/office/drawing/2014/main" id="{2CB74F6F-3ABC-40B9-AE05-CF54C2888661}"/>
            </a:ext>
          </a:extLst>
        </xdr:cNvPr>
        <xdr:cNvCxnSpPr/>
      </xdr:nvCxnSpPr>
      <xdr:spPr>
        <a:xfrm>
          <a:off x="3825240" y="2758440"/>
          <a:ext cx="1958340" cy="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541020</xdr:colOff>
      <xdr:row>17</xdr:row>
      <xdr:rowOff>7620</xdr:rowOff>
    </xdr:from>
    <xdr:to>
      <xdr:col>2</xdr:col>
      <xdr:colOff>2499360</xdr:colOff>
      <xdr:row>17</xdr:row>
      <xdr:rowOff>7620</xdr:rowOff>
    </xdr:to>
    <xdr:cxnSp macro="">
      <xdr:nvCxnSpPr>
        <xdr:cNvPr id="11" name="Conector recto 10">
          <a:extLst>
            <a:ext uri="{FF2B5EF4-FFF2-40B4-BE49-F238E27FC236}">
              <a16:creationId xmlns:a16="http://schemas.microsoft.com/office/drawing/2014/main" id="{1FA8A8A3-988A-49C6-98B3-9D6F9D59B0EE}"/>
            </a:ext>
          </a:extLst>
        </xdr:cNvPr>
        <xdr:cNvCxnSpPr/>
      </xdr:nvCxnSpPr>
      <xdr:spPr>
        <a:xfrm>
          <a:off x="3825240" y="2948940"/>
          <a:ext cx="1958340" cy="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426720</xdr:colOff>
      <xdr:row>14</xdr:row>
      <xdr:rowOff>152400</xdr:rowOff>
    </xdr:from>
    <xdr:to>
      <xdr:col>2</xdr:col>
      <xdr:colOff>2621280</xdr:colOff>
      <xdr:row>18</xdr:row>
      <xdr:rowOff>0</xdr:rowOff>
    </xdr:to>
    <xdr:sp macro="" textlink="">
      <xdr:nvSpPr>
        <xdr:cNvPr id="12" name="Corchetes 11">
          <a:extLst>
            <a:ext uri="{FF2B5EF4-FFF2-40B4-BE49-F238E27FC236}">
              <a16:creationId xmlns:a16="http://schemas.microsoft.com/office/drawing/2014/main" id="{816DAC2C-16A5-42DE-BFFF-125D2B319C60}"/>
            </a:ext>
          </a:extLst>
        </xdr:cNvPr>
        <xdr:cNvSpPr/>
      </xdr:nvSpPr>
      <xdr:spPr>
        <a:xfrm>
          <a:off x="3710940" y="2545080"/>
          <a:ext cx="2194560" cy="579120"/>
        </a:xfrm>
        <a:prstGeom prst="bracketPair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579120</xdr:colOff>
      <xdr:row>14</xdr:row>
      <xdr:rowOff>152400</xdr:rowOff>
    </xdr:from>
    <xdr:to>
      <xdr:col>7</xdr:col>
      <xdr:colOff>777240</xdr:colOff>
      <xdr:row>18</xdr:row>
      <xdr:rowOff>0</xdr:rowOff>
    </xdr:to>
    <xdr:sp macro="" textlink="">
      <xdr:nvSpPr>
        <xdr:cNvPr id="13" name="Corchetes 12">
          <a:extLst>
            <a:ext uri="{FF2B5EF4-FFF2-40B4-BE49-F238E27FC236}">
              <a16:creationId xmlns:a16="http://schemas.microsoft.com/office/drawing/2014/main" id="{A4F7FF0F-9FC1-45CD-B5EE-FE5BA684C89C}"/>
            </a:ext>
          </a:extLst>
        </xdr:cNvPr>
        <xdr:cNvSpPr/>
      </xdr:nvSpPr>
      <xdr:spPr>
        <a:xfrm>
          <a:off x="7383780" y="2545080"/>
          <a:ext cx="2575560" cy="579120"/>
        </a:xfrm>
        <a:prstGeom prst="bracketPair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541020</xdr:colOff>
      <xdr:row>21</xdr:row>
      <xdr:rowOff>0</xdr:rowOff>
    </xdr:from>
    <xdr:to>
      <xdr:col>2</xdr:col>
      <xdr:colOff>2499360</xdr:colOff>
      <xdr:row>21</xdr:row>
      <xdr:rowOff>0</xdr:rowOff>
    </xdr:to>
    <xdr:cxnSp macro="">
      <xdr:nvCxnSpPr>
        <xdr:cNvPr id="14" name="Conector recto 13">
          <a:extLst>
            <a:ext uri="{FF2B5EF4-FFF2-40B4-BE49-F238E27FC236}">
              <a16:creationId xmlns:a16="http://schemas.microsoft.com/office/drawing/2014/main" id="{3B5B5972-A46E-4BAE-9C5D-9545E4780C60}"/>
            </a:ext>
          </a:extLst>
        </xdr:cNvPr>
        <xdr:cNvCxnSpPr/>
      </xdr:nvCxnSpPr>
      <xdr:spPr>
        <a:xfrm>
          <a:off x="3825240" y="3672840"/>
          <a:ext cx="1958340" cy="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541020</xdr:colOff>
      <xdr:row>22</xdr:row>
      <xdr:rowOff>7620</xdr:rowOff>
    </xdr:from>
    <xdr:to>
      <xdr:col>2</xdr:col>
      <xdr:colOff>2499360</xdr:colOff>
      <xdr:row>22</xdr:row>
      <xdr:rowOff>7620</xdr:rowOff>
    </xdr:to>
    <xdr:cxnSp macro="">
      <xdr:nvCxnSpPr>
        <xdr:cNvPr id="15" name="Conector recto 14">
          <a:extLst>
            <a:ext uri="{FF2B5EF4-FFF2-40B4-BE49-F238E27FC236}">
              <a16:creationId xmlns:a16="http://schemas.microsoft.com/office/drawing/2014/main" id="{F64DB3EF-D038-45B3-AC9A-E4FF59843CEF}"/>
            </a:ext>
          </a:extLst>
        </xdr:cNvPr>
        <xdr:cNvCxnSpPr/>
      </xdr:nvCxnSpPr>
      <xdr:spPr>
        <a:xfrm>
          <a:off x="3825240" y="3863340"/>
          <a:ext cx="1958340" cy="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289560</xdr:colOff>
      <xdr:row>19</xdr:row>
      <xdr:rowOff>152400</xdr:rowOff>
    </xdr:from>
    <xdr:to>
      <xdr:col>2</xdr:col>
      <xdr:colOff>2766060</xdr:colOff>
      <xdr:row>23</xdr:row>
      <xdr:rowOff>0</xdr:rowOff>
    </xdr:to>
    <xdr:sp macro="" textlink="">
      <xdr:nvSpPr>
        <xdr:cNvPr id="16" name="Corchetes 15">
          <a:extLst>
            <a:ext uri="{FF2B5EF4-FFF2-40B4-BE49-F238E27FC236}">
              <a16:creationId xmlns:a16="http://schemas.microsoft.com/office/drawing/2014/main" id="{59590378-3587-4C14-B3A0-9C86E184606C}"/>
            </a:ext>
          </a:extLst>
        </xdr:cNvPr>
        <xdr:cNvSpPr/>
      </xdr:nvSpPr>
      <xdr:spPr>
        <a:xfrm>
          <a:off x="3573780" y="3459480"/>
          <a:ext cx="2438400" cy="586740"/>
        </a:xfrm>
        <a:prstGeom prst="bracketPair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0</xdr:rowOff>
    </xdr:from>
    <xdr:to>
      <xdr:col>10</xdr:col>
      <xdr:colOff>128992</xdr:colOff>
      <xdr:row>58</xdr:row>
      <xdr:rowOff>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5C98DC4-4960-5548-5D30-EFA9CFC666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2480" y="548640"/>
          <a:ext cx="7261312" cy="10058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40523-5E74-4BD9-A326-16B01E258D9D}">
  <dimension ref="B3:M26"/>
  <sheetViews>
    <sheetView workbookViewId="0">
      <selection activeCell="D25" sqref="D25"/>
    </sheetView>
  </sheetViews>
  <sheetFormatPr baseColWidth="10" defaultRowHeight="14.4"/>
  <cols>
    <col min="2" max="2" width="24.77734375" bestFit="1" customWidth="1"/>
    <col min="3" max="3" width="45" customWidth="1"/>
    <col min="13" max="13" width="31.6640625" bestFit="1" customWidth="1"/>
  </cols>
  <sheetData>
    <row r="3" spans="2:13" ht="15" thickBot="1"/>
    <row r="4" spans="2:13" ht="15" thickBot="1">
      <c r="B4" s="1" t="s">
        <v>0</v>
      </c>
      <c r="C4" s="46" t="s">
        <v>1</v>
      </c>
      <c r="D4" s="47"/>
      <c r="E4" s="47"/>
      <c r="F4" s="47"/>
      <c r="G4" s="47"/>
      <c r="H4" s="47"/>
      <c r="I4" s="47"/>
      <c r="J4" s="47"/>
      <c r="K4" s="47" t="s">
        <v>2</v>
      </c>
      <c r="L4" s="47"/>
      <c r="M4" s="48"/>
    </row>
    <row r="5" spans="2:13">
      <c r="B5" s="2"/>
      <c r="K5" s="3"/>
      <c r="M5" s="4"/>
    </row>
    <row r="6" spans="2:13">
      <c r="B6" s="49" t="s">
        <v>3</v>
      </c>
      <c r="C6" s="5" t="s">
        <v>4</v>
      </c>
      <c r="K6" s="3" t="s">
        <v>5</v>
      </c>
      <c r="M6" s="4" t="s">
        <v>6</v>
      </c>
    </row>
    <row r="7" spans="2:13">
      <c r="B7" s="49"/>
      <c r="C7" s="5">
        <v>100</v>
      </c>
      <c r="D7" s="5" t="s">
        <v>7</v>
      </c>
      <c r="E7" t="s">
        <v>8</v>
      </c>
      <c r="F7" t="s">
        <v>9</v>
      </c>
      <c r="G7" s="5" t="s">
        <v>10</v>
      </c>
      <c r="H7" t="s">
        <v>11</v>
      </c>
      <c r="K7" s="3" t="s">
        <v>12</v>
      </c>
      <c r="M7" s="4" t="s">
        <v>13</v>
      </c>
    </row>
    <row r="8" spans="2:13">
      <c r="B8" s="49"/>
      <c r="C8" s="6">
        <v>30</v>
      </c>
      <c r="D8" s="7"/>
      <c r="E8" s="7"/>
      <c r="F8" s="7"/>
      <c r="G8" s="7"/>
      <c r="H8" s="7"/>
      <c r="I8" s="7"/>
      <c r="J8" s="7"/>
      <c r="K8" s="8"/>
      <c r="L8" s="7"/>
      <c r="M8" s="9"/>
    </row>
    <row r="9" spans="2:13">
      <c r="B9" s="2"/>
      <c r="C9" s="5"/>
      <c r="K9" s="3"/>
      <c r="M9" s="4"/>
    </row>
    <row r="10" spans="2:13">
      <c r="B10" s="2"/>
      <c r="K10" s="3"/>
      <c r="M10" s="4"/>
    </row>
    <row r="11" spans="2:13">
      <c r="B11" s="49" t="s">
        <v>14</v>
      </c>
      <c r="C11" s="5" t="s">
        <v>4</v>
      </c>
      <c r="K11" s="3" t="s">
        <v>5</v>
      </c>
      <c r="M11" s="4" t="s">
        <v>15</v>
      </c>
    </row>
    <row r="12" spans="2:13">
      <c r="B12" s="49"/>
      <c r="C12" s="5">
        <v>100</v>
      </c>
      <c r="D12" s="5" t="s">
        <v>7</v>
      </c>
      <c r="E12" t="s">
        <v>8</v>
      </c>
      <c r="F12" t="s">
        <v>9</v>
      </c>
      <c r="G12" s="5" t="s">
        <v>10</v>
      </c>
      <c r="H12" t="s">
        <v>11</v>
      </c>
      <c r="K12" s="3" t="s">
        <v>12</v>
      </c>
      <c r="M12" s="4" t="s">
        <v>16</v>
      </c>
    </row>
    <row r="13" spans="2:13">
      <c r="B13" s="49"/>
      <c r="C13" s="6">
        <v>30</v>
      </c>
      <c r="D13" s="7"/>
      <c r="E13" s="7"/>
      <c r="F13" s="7"/>
      <c r="G13" s="7"/>
      <c r="H13" s="7"/>
      <c r="I13" s="7"/>
      <c r="J13" s="7"/>
      <c r="K13" s="8"/>
      <c r="L13" s="7"/>
      <c r="M13" s="9"/>
    </row>
    <row r="14" spans="2:13">
      <c r="B14" s="2"/>
      <c r="C14" s="5"/>
      <c r="K14" s="3"/>
      <c r="M14" s="4"/>
    </row>
    <row r="15" spans="2:13">
      <c r="B15" s="2"/>
      <c r="K15" s="3" t="s">
        <v>17</v>
      </c>
      <c r="M15" s="4" t="s">
        <v>18</v>
      </c>
    </row>
    <row r="16" spans="2:13">
      <c r="B16" s="49" t="s">
        <v>19</v>
      </c>
      <c r="C16" s="5" t="s">
        <v>20</v>
      </c>
      <c r="K16" s="3" t="s">
        <v>5</v>
      </c>
      <c r="M16" s="4" t="s">
        <v>15</v>
      </c>
    </row>
    <row r="17" spans="2:13">
      <c r="B17" s="49"/>
      <c r="C17" s="5">
        <v>100</v>
      </c>
      <c r="D17" s="5" t="s">
        <v>7</v>
      </c>
      <c r="E17" t="s">
        <v>8</v>
      </c>
      <c r="F17" t="s">
        <v>9</v>
      </c>
      <c r="G17" s="5" t="s">
        <v>10</v>
      </c>
      <c r="H17" t="s">
        <v>11</v>
      </c>
      <c r="K17" s="3" t="s">
        <v>12</v>
      </c>
      <c r="M17" s="4" t="s">
        <v>16</v>
      </c>
    </row>
    <row r="18" spans="2:13">
      <c r="B18" s="49"/>
      <c r="C18" s="6">
        <v>30</v>
      </c>
      <c r="D18" s="7"/>
      <c r="E18" s="7"/>
      <c r="F18" s="7"/>
      <c r="G18" s="7"/>
      <c r="H18" s="7"/>
      <c r="I18" s="7"/>
      <c r="J18" s="7"/>
      <c r="K18" s="8"/>
      <c r="L18" s="7"/>
      <c r="M18" s="9"/>
    </row>
    <row r="19" spans="2:13">
      <c r="B19" s="2"/>
      <c r="C19" s="5"/>
      <c r="K19" s="10"/>
      <c r="M19" s="4"/>
    </row>
    <row r="20" spans="2:13">
      <c r="B20" s="2"/>
      <c r="K20" s="3" t="s">
        <v>21</v>
      </c>
      <c r="M20" s="4" t="s">
        <v>22</v>
      </c>
    </row>
    <row r="21" spans="2:13">
      <c r="B21" s="49" t="s">
        <v>23</v>
      </c>
      <c r="C21" s="5" t="s">
        <v>24</v>
      </c>
      <c r="K21" s="3"/>
      <c r="M21" s="4"/>
    </row>
    <row r="22" spans="2:13">
      <c r="B22" s="49"/>
      <c r="C22" s="5" t="s">
        <v>25</v>
      </c>
      <c r="D22" s="5"/>
      <c r="G22" s="5"/>
      <c r="K22" s="3"/>
      <c r="M22" s="4"/>
    </row>
    <row r="23" spans="2:13" ht="15" thickBot="1">
      <c r="B23" s="50"/>
      <c r="C23" s="11" t="s">
        <v>26</v>
      </c>
      <c r="D23" s="12"/>
      <c r="E23" s="12"/>
      <c r="F23" s="12"/>
      <c r="G23" s="12"/>
      <c r="H23" s="12"/>
      <c r="I23" s="12"/>
      <c r="J23" s="12"/>
      <c r="K23" s="13"/>
      <c r="L23" s="12"/>
      <c r="M23" s="14"/>
    </row>
    <row r="25" spans="2:13">
      <c r="D25" s="38">
        <f>10000/((1+(180/100)*(6))/(180/100))</f>
        <v>1525.4237288135594</v>
      </c>
    </row>
    <row r="26" spans="2:13">
      <c r="D26">
        <f>+D25*6</f>
        <v>9152.5423728813566</v>
      </c>
    </row>
  </sheetData>
  <mergeCells count="6">
    <mergeCell ref="B21:B23"/>
    <mergeCell ref="C4:J4"/>
    <mergeCell ref="K4:M4"/>
    <mergeCell ref="B6:B8"/>
    <mergeCell ref="B11:B13"/>
    <mergeCell ref="B16:B18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7B553F-25AE-4BE4-905A-A16992C82779}">
  <dimension ref="B4:L45"/>
  <sheetViews>
    <sheetView topLeftCell="B19" workbookViewId="0">
      <selection activeCell="J39" sqref="J39"/>
    </sheetView>
  </sheetViews>
  <sheetFormatPr baseColWidth="10" defaultRowHeight="14.4"/>
  <cols>
    <col min="1" max="1" width="11.5546875" style="15"/>
    <col min="2" max="2" width="18.21875" style="15" customWidth="1"/>
    <col min="3" max="3" width="15.33203125" style="15" bestFit="1" customWidth="1"/>
    <col min="4" max="4" width="64.109375" style="15" bestFit="1" customWidth="1"/>
    <col min="5" max="5" width="11.5546875" style="15"/>
    <col min="6" max="6" width="15.21875" style="15" bestFit="1" customWidth="1"/>
    <col min="7" max="7" width="11.5546875" style="15"/>
    <col min="8" max="8" width="12.88671875" style="15" bestFit="1" customWidth="1"/>
    <col min="9" max="16384" width="11.5546875" style="15"/>
  </cols>
  <sheetData>
    <row r="4" spans="2:4">
      <c r="B4" s="23" t="s">
        <v>27</v>
      </c>
      <c r="C4" s="23" t="s">
        <v>28</v>
      </c>
    </row>
    <row r="5" spans="2:4">
      <c r="B5" s="16" t="s">
        <v>29</v>
      </c>
      <c r="C5" s="17">
        <v>10000</v>
      </c>
    </row>
    <row r="6" spans="2:4">
      <c r="B6" s="16" t="s">
        <v>30</v>
      </c>
      <c r="C6" s="35">
        <v>1.8</v>
      </c>
    </row>
    <row r="7" spans="2:4">
      <c r="B7" s="16" t="s">
        <v>31</v>
      </c>
      <c r="C7" s="36">
        <f>C6/360</f>
        <v>5.0000000000000001E-3</v>
      </c>
    </row>
    <row r="8" spans="2:4" ht="28.8">
      <c r="B8" s="16" t="s">
        <v>32</v>
      </c>
      <c r="C8" s="16">
        <v>6</v>
      </c>
    </row>
    <row r="9" spans="2:4" ht="28.8">
      <c r="B9" s="16" t="s">
        <v>33</v>
      </c>
      <c r="C9" s="30">
        <f>+D32</f>
        <v>1716.6666666666667</v>
      </c>
    </row>
    <row r="10" spans="2:4">
      <c r="B10" s="16" t="s">
        <v>34</v>
      </c>
      <c r="C10" s="18">
        <v>45935</v>
      </c>
    </row>
    <row r="13" spans="2:4">
      <c r="C13" s="20">
        <v>1</v>
      </c>
      <c r="D13" s="20" t="s">
        <v>36</v>
      </c>
    </row>
    <row r="14" spans="2:4" ht="57.6">
      <c r="C14" s="19"/>
      <c r="D14" s="29" t="s">
        <v>35</v>
      </c>
    </row>
    <row r="15" spans="2:4">
      <c r="D15" s="28" t="s">
        <v>52</v>
      </c>
    </row>
    <row r="16" spans="2:4">
      <c r="D16" s="21"/>
    </row>
    <row r="17" spans="3:4">
      <c r="C17" s="20" t="s">
        <v>37</v>
      </c>
      <c r="D17" s="22" t="s">
        <v>39</v>
      </c>
    </row>
    <row r="18" spans="3:4">
      <c r="C18" s="20" t="s">
        <v>38</v>
      </c>
      <c r="D18" s="22" t="s">
        <v>40</v>
      </c>
    </row>
    <row r="20" spans="3:4">
      <c r="C20" s="20" t="s">
        <v>41</v>
      </c>
      <c r="D20" s="15" t="s">
        <v>42</v>
      </c>
    </row>
    <row r="22" spans="3:4">
      <c r="C22" s="20" t="s">
        <v>43</v>
      </c>
      <c r="D22" s="15" t="s">
        <v>44</v>
      </c>
    </row>
    <row r="24" spans="3:4">
      <c r="C24" s="20">
        <v>2</v>
      </c>
      <c r="D24" s="20" t="s">
        <v>45</v>
      </c>
    </row>
    <row r="25" spans="3:4">
      <c r="C25" s="20" t="s">
        <v>46</v>
      </c>
      <c r="D25" s="26">
        <f xml:space="preserve"> 10000*180/100*6/360</f>
        <v>300</v>
      </c>
    </row>
    <row r="27" spans="3:4">
      <c r="C27" s="24" t="s">
        <v>47</v>
      </c>
    </row>
    <row r="28" spans="3:4">
      <c r="C28" s="20" t="s">
        <v>48</v>
      </c>
      <c r="D28" s="26">
        <f>+C5+D25</f>
        <v>10300</v>
      </c>
    </row>
    <row r="30" spans="3:4">
      <c r="C30" s="24" t="s">
        <v>49</v>
      </c>
    </row>
    <row r="31" spans="3:4">
      <c r="C31" s="20">
        <v>3</v>
      </c>
      <c r="D31" s="20" t="s">
        <v>50</v>
      </c>
    </row>
    <row r="32" spans="3:4">
      <c r="C32" s="25" t="s">
        <v>51</v>
      </c>
      <c r="D32" s="27">
        <f>+D28/C8</f>
        <v>1716.6666666666667</v>
      </c>
    </row>
    <row r="34" spans="3:12">
      <c r="F34" s="51" t="s">
        <v>53</v>
      </c>
      <c r="G34" s="51"/>
      <c r="H34" s="51"/>
      <c r="I34" s="51"/>
      <c r="J34" s="51"/>
      <c r="K34" s="51"/>
      <c r="L34" s="51"/>
    </row>
    <row r="36" spans="3:12">
      <c r="F36" s="19" t="s">
        <v>54</v>
      </c>
      <c r="G36" s="19" t="s">
        <v>55</v>
      </c>
      <c r="H36" s="19" t="s">
        <v>57</v>
      </c>
      <c r="I36" s="19" t="s">
        <v>58</v>
      </c>
      <c r="J36" s="19" t="s">
        <v>59</v>
      </c>
      <c r="K36" s="19" t="s">
        <v>60</v>
      </c>
      <c r="L36" s="19" t="s">
        <v>61</v>
      </c>
    </row>
    <row r="37" spans="3:12">
      <c r="F37" s="19">
        <v>0</v>
      </c>
      <c r="G37" s="31">
        <v>45935</v>
      </c>
      <c r="H37" s="19">
        <v>0</v>
      </c>
      <c r="I37" s="19"/>
      <c r="J37" s="19"/>
      <c r="L37" s="26">
        <f>+C5</f>
        <v>10000</v>
      </c>
    </row>
    <row r="38" spans="3:12">
      <c r="C38" s="39"/>
      <c r="F38" s="19">
        <v>1</v>
      </c>
      <c r="G38" s="31">
        <f>+G37+1</f>
        <v>45936</v>
      </c>
      <c r="H38" s="32">
        <f>+G38-G37</f>
        <v>1</v>
      </c>
      <c r="I38" s="27">
        <f>+K38-J38</f>
        <v>1666.6666666666667</v>
      </c>
      <c r="J38" s="19">
        <f>+L37*$C$7*H38</f>
        <v>50</v>
      </c>
      <c r="K38" s="27">
        <f>+$C$9</f>
        <v>1716.6666666666667</v>
      </c>
      <c r="L38" s="27">
        <f>+L37-I38</f>
        <v>8333.3333333333339</v>
      </c>
    </row>
    <row r="39" spans="3:12">
      <c r="F39" s="19">
        <v>2</v>
      </c>
      <c r="G39" s="31">
        <f t="shared" ref="G39:G43" si="0">+G38+1</f>
        <v>45937</v>
      </c>
      <c r="H39" s="32">
        <f t="shared" ref="H39:H43" si="1">+G39-G38</f>
        <v>1</v>
      </c>
      <c r="I39" s="27">
        <f t="shared" ref="I39:I42" si="2">+K39-J39</f>
        <v>1675</v>
      </c>
      <c r="J39" s="37">
        <f>+L38*$C$7*H39</f>
        <v>41.666666666666671</v>
      </c>
      <c r="K39" s="27">
        <f t="shared" ref="K39:K43" si="3">+$C$9</f>
        <v>1716.6666666666667</v>
      </c>
      <c r="L39" s="27">
        <f t="shared" ref="L39:L43" si="4">+L38-I39</f>
        <v>6658.3333333333339</v>
      </c>
    </row>
    <row r="40" spans="3:12">
      <c r="F40" s="19">
        <v>3</v>
      </c>
      <c r="G40" s="31">
        <f t="shared" si="0"/>
        <v>45938</v>
      </c>
      <c r="H40" s="32">
        <f t="shared" si="1"/>
        <v>1</v>
      </c>
      <c r="I40" s="27">
        <f t="shared" si="2"/>
        <v>1683.375</v>
      </c>
      <c r="J40" s="37">
        <f t="shared" ref="J40:J43" si="5">+L39*$C$7*H40</f>
        <v>33.291666666666671</v>
      </c>
      <c r="K40" s="27">
        <f t="shared" si="3"/>
        <v>1716.6666666666667</v>
      </c>
      <c r="L40" s="27">
        <f t="shared" si="4"/>
        <v>4974.9583333333339</v>
      </c>
    </row>
    <row r="41" spans="3:12">
      <c r="F41" s="19">
        <v>4</v>
      </c>
      <c r="G41" s="31">
        <f t="shared" si="0"/>
        <v>45939</v>
      </c>
      <c r="H41" s="32">
        <f t="shared" si="1"/>
        <v>1</v>
      </c>
      <c r="I41" s="27">
        <f t="shared" si="2"/>
        <v>1691.7918750000001</v>
      </c>
      <c r="J41" s="37">
        <f t="shared" si="5"/>
        <v>24.87479166666667</v>
      </c>
      <c r="K41" s="27">
        <f t="shared" si="3"/>
        <v>1716.6666666666667</v>
      </c>
      <c r="L41" s="27">
        <f t="shared" si="4"/>
        <v>3283.166458333334</v>
      </c>
    </row>
    <row r="42" spans="3:12">
      <c r="F42" s="19">
        <v>5</v>
      </c>
      <c r="G42" s="31">
        <f t="shared" si="0"/>
        <v>45940</v>
      </c>
      <c r="H42" s="32">
        <f t="shared" si="1"/>
        <v>1</v>
      </c>
      <c r="I42" s="27">
        <f t="shared" si="2"/>
        <v>1700.2508343750001</v>
      </c>
      <c r="J42" s="37">
        <f t="shared" si="5"/>
        <v>16.415832291666671</v>
      </c>
      <c r="K42" s="27">
        <f t="shared" si="3"/>
        <v>1716.6666666666667</v>
      </c>
      <c r="L42" s="27">
        <f t="shared" si="4"/>
        <v>1582.915623958334</v>
      </c>
    </row>
    <row r="43" spans="3:12">
      <c r="F43" s="19">
        <v>6</v>
      </c>
      <c r="G43" s="31">
        <f t="shared" si="0"/>
        <v>45941</v>
      </c>
      <c r="H43" s="32">
        <f t="shared" si="1"/>
        <v>1</v>
      </c>
      <c r="I43" s="27">
        <v>1582.92</v>
      </c>
      <c r="J43" s="37">
        <f t="shared" si="5"/>
        <v>7.9145781197916705</v>
      </c>
      <c r="K43" s="27">
        <f t="shared" si="3"/>
        <v>1716.6666666666667</v>
      </c>
      <c r="L43" s="27">
        <f t="shared" si="4"/>
        <v>-4.3760416660916235E-3</v>
      </c>
    </row>
    <row r="44" spans="3:12">
      <c r="F44" s="34" t="s">
        <v>56</v>
      </c>
      <c r="G44" s="33"/>
      <c r="H44" s="33"/>
      <c r="I44" s="27">
        <f>SUM(I38:I43)</f>
        <v>10000.004376041667</v>
      </c>
      <c r="J44" s="37">
        <f>SUM(J38:J43)</f>
        <v>174.16353541145838</v>
      </c>
      <c r="K44" s="27">
        <f>SUM(K38:K43)</f>
        <v>10300</v>
      </c>
      <c r="L44" s="27"/>
    </row>
    <row r="45" spans="3:12">
      <c r="K45" s="27"/>
    </row>
  </sheetData>
  <mergeCells count="1">
    <mergeCell ref="F34:L3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C1050D-DE59-490C-BB86-659F684C8632}">
  <dimension ref="A3:K20"/>
  <sheetViews>
    <sheetView workbookViewId="0">
      <selection activeCell="I14" sqref="I14"/>
    </sheetView>
  </sheetViews>
  <sheetFormatPr baseColWidth="10" defaultRowHeight="14.4"/>
  <cols>
    <col min="1" max="1" width="15.88671875" style="15" bestFit="1" customWidth="1"/>
    <col min="2" max="2" width="20.109375" style="15" customWidth="1"/>
    <col min="3" max="3" width="16" style="15" customWidth="1"/>
    <col min="4" max="4" width="13.88671875" style="15" bestFit="1" customWidth="1"/>
    <col min="5" max="5" width="11.5546875" style="15"/>
    <col min="6" max="6" width="12.77734375" style="15" bestFit="1" customWidth="1"/>
    <col min="7" max="16384" width="11.5546875" style="15"/>
  </cols>
  <sheetData>
    <row r="3" spans="1:11">
      <c r="B3" s="40" t="s">
        <v>27</v>
      </c>
      <c r="C3" s="40" t="s">
        <v>28</v>
      </c>
    </row>
    <row r="4" spans="1:11">
      <c r="B4" s="16" t="s">
        <v>29</v>
      </c>
      <c r="C4" s="17">
        <v>10000</v>
      </c>
    </row>
    <row r="5" spans="1:11">
      <c r="B5" s="16" t="s">
        <v>30</v>
      </c>
      <c r="C5" s="35">
        <v>1.8</v>
      </c>
    </row>
    <row r="6" spans="1:11">
      <c r="B6" s="16" t="s">
        <v>31</v>
      </c>
      <c r="C6" s="36">
        <f>C5/360</f>
        <v>5.0000000000000001E-3</v>
      </c>
    </row>
    <row r="7" spans="1:11" ht="28.8">
      <c r="B7" s="16" t="s">
        <v>32</v>
      </c>
      <c r="C7" s="16">
        <v>6</v>
      </c>
    </row>
    <row r="8" spans="1:11">
      <c r="B8" s="16" t="s">
        <v>33</v>
      </c>
      <c r="C8" s="30">
        <f>+B13</f>
        <v>1695.9545564410716</v>
      </c>
    </row>
    <row r="9" spans="1:11">
      <c r="B9" s="16" t="s">
        <v>34</v>
      </c>
      <c r="C9" s="18">
        <v>45935</v>
      </c>
    </row>
    <row r="12" spans="1:11">
      <c r="A12" s="24" t="s">
        <v>66</v>
      </c>
      <c r="D12" s="41" t="s">
        <v>63</v>
      </c>
      <c r="E12" s="41" t="s">
        <v>64</v>
      </c>
      <c r="F12" s="41" t="s">
        <v>65</v>
      </c>
      <c r="G12" s="41" t="s">
        <v>58</v>
      </c>
      <c r="H12" s="41" t="s">
        <v>59</v>
      </c>
      <c r="I12" s="41" t="s">
        <v>60</v>
      </c>
      <c r="J12" s="41" t="s">
        <v>61</v>
      </c>
    </row>
    <row r="13" spans="1:11">
      <c r="A13" s="41" t="s">
        <v>60</v>
      </c>
      <c r="B13" s="42">
        <f>+PMT(C6,C7,C4)*-1</f>
        <v>1695.9545564410716</v>
      </c>
      <c r="D13" s="19">
        <v>0</v>
      </c>
      <c r="E13" s="31">
        <v>45935</v>
      </c>
      <c r="F13" s="27"/>
      <c r="G13" s="27"/>
      <c r="H13" s="27"/>
      <c r="I13" s="27"/>
      <c r="J13" s="26">
        <f>+C4</f>
        <v>10000</v>
      </c>
    </row>
    <row r="14" spans="1:11">
      <c r="A14" s="41" t="s">
        <v>62</v>
      </c>
      <c r="B14" s="43">
        <f>+PPMT(C6,1,C7,C4)*-1</f>
        <v>1645.9545564410716</v>
      </c>
      <c r="D14" s="19">
        <v>1</v>
      </c>
      <c r="E14" s="31">
        <f>+E13+1</f>
        <v>45936</v>
      </c>
      <c r="F14" s="32">
        <f>+E14-E13</f>
        <v>1</v>
      </c>
      <c r="G14" s="42">
        <f>+I14-H14</f>
        <v>1645.9545564410716</v>
      </c>
      <c r="H14" s="44">
        <f>+J13*$C$6*F14</f>
        <v>50</v>
      </c>
      <c r="I14" s="42">
        <f>+B13</f>
        <v>1695.9545564410716</v>
      </c>
      <c r="J14" s="42">
        <f>+J13-G14</f>
        <v>8354.045443558929</v>
      </c>
    </row>
    <row r="15" spans="1:11">
      <c r="A15" s="41" t="s">
        <v>59</v>
      </c>
      <c r="B15" s="42">
        <f>+IPMT(C6,1,C7,C4)*-1</f>
        <v>50</v>
      </c>
      <c r="D15" s="19">
        <v>2</v>
      </c>
      <c r="E15" s="31">
        <f t="shared" ref="E15:E19" si="0">+E14+1</f>
        <v>45937</v>
      </c>
      <c r="F15" s="32">
        <f t="shared" ref="F15:F19" si="1">+E15-E14</f>
        <v>1</v>
      </c>
      <c r="G15" s="42">
        <f t="shared" ref="G15:G19" si="2">+I15-H15</f>
        <v>1654.184329223277</v>
      </c>
      <c r="H15" s="44">
        <f t="shared" ref="H15:H19" si="3">+J14*$C$6*F15</f>
        <v>41.770227217794648</v>
      </c>
      <c r="I15" s="42">
        <v>1695.9545564410716</v>
      </c>
      <c r="J15" s="42">
        <f t="shared" ref="J15:J19" si="4">+J14-G15</f>
        <v>6699.861114335652</v>
      </c>
      <c r="K15" s="45"/>
    </row>
    <row r="16" spans="1:11">
      <c r="D16" s="19">
        <v>3</v>
      </c>
      <c r="E16" s="31">
        <f t="shared" si="0"/>
        <v>45938</v>
      </c>
      <c r="F16" s="32">
        <f t="shared" si="1"/>
        <v>1</v>
      </c>
      <c r="G16" s="42">
        <f t="shared" si="2"/>
        <v>1662.4552508693935</v>
      </c>
      <c r="H16" s="44">
        <f t="shared" si="3"/>
        <v>33.499305571678264</v>
      </c>
      <c r="I16" s="42">
        <v>1695.9545564410716</v>
      </c>
      <c r="J16" s="42">
        <f t="shared" si="4"/>
        <v>5037.4058634662588</v>
      </c>
    </row>
    <row r="17" spans="4:10">
      <c r="D17" s="19">
        <v>4</v>
      </c>
      <c r="E17" s="31">
        <f t="shared" si="0"/>
        <v>45939</v>
      </c>
      <c r="F17" s="32">
        <f t="shared" si="1"/>
        <v>1</v>
      </c>
      <c r="G17" s="42">
        <f t="shared" si="2"/>
        <v>1670.7675271237404</v>
      </c>
      <c r="H17" s="44">
        <f t="shared" si="3"/>
        <v>25.187029317331294</v>
      </c>
      <c r="I17" s="42">
        <v>1695.9545564410716</v>
      </c>
      <c r="J17" s="42">
        <f t="shared" si="4"/>
        <v>3366.6383363425184</v>
      </c>
    </row>
    <row r="18" spans="4:10">
      <c r="D18" s="19">
        <v>5</v>
      </c>
      <c r="E18" s="31">
        <f t="shared" si="0"/>
        <v>45940</v>
      </c>
      <c r="F18" s="32">
        <f t="shared" si="1"/>
        <v>1</v>
      </c>
      <c r="G18" s="42">
        <f t="shared" si="2"/>
        <v>1679.121364759359</v>
      </c>
      <c r="H18" s="44">
        <f t="shared" si="3"/>
        <v>16.833191681712592</v>
      </c>
      <c r="I18" s="42">
        <v>1695.9545564410716</v>
      </c>
      <c r="J18" s="42">
        <f t="shared" si="4"/>
        <v>1687.5169715831594</v>
      </c>
    </row>
    <row r="19" spans="4:10">
      <c r="D19" s="19">
        <v>6</v>
      </c>
      <c r="E19" s="31">
        <f t="shared" si="0"/>
        <v>45941</v>
      </c>
      <c r="F19" s="32">
        <f t="shared" si="1"/>
        <v>1</v>
      </c>
      <c r="G19" s="42">
        <f t="shared" si="2"/>
        <v>1687.5169715831557</v>
      </c>
      <c r="H19" s="44">
        <f t="shared" si="3"/>
        <v>8.4375848579157964</v>
      </c>
      <c r="I19" s="42">
        <v>1695.9545564410716</v>
      </c>
      <c r="J19" s="42">
        <f t="shared" si="4"/>
        <v>3.637978807091713E-12</v>
      </c>
    </row>
    <row r="20" spans="4:10">
      <c r="D20" s="19"/>
      <c r="E20" s="19"/>
      <c r="F20" s="19"/>
      <c r="G20" s="42">
        <f>SUM(G14:G19)</f>
        <v>9999.9999999999982</v>
      </c>
      <c r="H20" s="44">
        <f>SUM(H14:H19)</f>
        <v>175.7273386464326</v>
      </c>
      <c r="I20" s="42">
        <f>SUM(I14:I19)</f>
        <v>10175.727338646429</v>
      </c>
      <c r="J20" s="19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859A82-8AC9-488A-B650-7C7F1F428EE7}">
  <dimension ref="A2:J36"/>
  <sheetViews>
    <sheetView zoomScale="67" workbookViewId="0">
      <selection activeCell="E17" sqref="E17"/>
    </sheetView>
  </sheetViews>
  <sheetFormatPr baseColWidth="10" defaultRowHeight="18" customHeight="1"/>
  <cols>
    <col min="2" max="2" width="65.44140625" bestFit="1" customWidth="1"/>
    <col min="3" max="3" width="53.88671875" bestFit="1" customWidth="1"/>
    <col min="4" max="4" width="75.6640625" bestFit="1" customWidth="1"/>
  </cols>
  <sheetData>
    <row r="2" spans="1:4" ht="18" customHeight="1">
      <c r="A2" s="52" t="s">
        <v>67</v>
      </c>
    </row>
    <row r="6" spans="1:4" ht="18" customHeight="1">
      <c r="B6" s="55" t="s">
        <v>68</v>
      </c>
      <c r="C6" s="55" t="s">
        <v>69</v>
      </c>
      <c r="D6" s="55" t="s">
        <v>70</v>
      </c>
    </row>
    <row r="7" spans="1:4" ht="18" customHeight="1">
      <c r="B7" s="53" t="s">
        <v>71</v>
      </c>
      <c r="C7" s="54" t="s">
        <v>72</v>
      </c>
      <c r="D7" s="54" t="s">
        <v>73</v>
      </c>
    </row>
    <row r="8" spans="1:4" ht="18" customHeight="1">
      <c r="B8" s="53" t="s">
        <v>74</v>
      </c>
      <c r="C8" s="54" t="s">
        <v>75</v>
      </c>
      <c r="D8" s="54" t="s">
        <v>76</v>
      </c>
    </row>
    <row r="9" spans="1:4" ht="18" customHeight="1">
      <c r="B9" s="53" t="s">
        <v>77</v>
      </c>
      <c r="C9" s="54" t="s">
        <v>78</v>
      </c>
      <c r="D9" s="54" t="s">
        <v>79</v>
      </c>
    </row>
    <row r="10" spans="1:4" ht="18" customHeight="1">
      <c r="B10" s="53" t="s">
        <v>80</v>
      </c>
      <c r="C10" s="54" t="s">
        <v>81</v>
      </c>
      <c r="D10" s="54" t="s">
        <v>82</v>
      </c>
    </row>
    <row r="11" spans="1:4" ht="18" customHeight="1">
      <c r="B11" s="53" t="s">
        <v>83</v>
      </c>
      <c r="C11" s="54" t="s">
        <v>84</v>
      </c>
      <c r="D11" s="54" t="s">
        <v>85</v>
      </c>
    </row>
    <row r="14" spans="1:4" ht="18" customHeight="1">
      <c r="B14" s="56" t="s">
        <v>86</v>
      </c>
    </row>
    <row r="15" spans="1:4" ht="18" customHeight="1">
      <c r="B15" s="57"/>
    </row>
    <row r="16" spans="1:4" ht="18" customHeight="1">
      <c r="B16" s="58" t="s">
        <v>87</v>
      </c>
    </row>
    <row r="17" spans="1:10" ht="18" customHeight="1">
      <c r="B17" s="59" t="s">
        <v>88</v>
      </c>
      <c r="E17" s="52" t="s">
        <v>94</v>
      </c>
    </row>
    <row r="18" spans="1:10" ht="18" customHeight="1">
      <c r="B18" s="59" t="s">
        <v>89</v>
      </c>
      <c r="E18" s="23" t="s">
        <v>91</v>
      </c>
      <c r="F18" s="23" t="s">
        <v>55</v>
      </c>
      <c r="G18" s="23" t="s">
        <v>92</v>
      </c>
      <c r="H18" s="23" t="s">
        <v>58</v>
      </c>
      <c r="I18" s="23" t="s">
        <v>60</v>
      </c>
      <c r="J18" s="23" t="s">
        <v>93</v>
      </c>
    </row>
    <row r="19" spans="1:10" ht="18" customHeight="1">
      <c r="B19" s="59" t="s">
        <v>90</v>
      </c>
      <c r="E19" s="54">
        <v>1</v>
      </c>
      <c r="F19" s="60">
        <v>45936</v>
      </c>
      <c r="G19" s="54">
        <v>50</v>
      </c>
      <c r="H19" s="61">
        <v>1645.95</v>
      </c>
      <c r="I19" s="61">
        <v>1695.95</v>
      </c>
      <c r="J19" s="61">
        <v>8354.0499999999993</v>
      </c>
    </row>
    <row r="20" spans="1:10" ht="18" customHeight="1">
      <c r="E20" s="54">
        <v>2</v>
      </c>
      <c r="F20" s="60">
        <v>45937</v>
      </c>
      <c r="G20" s="54">
        <v>41.77</v>
      </c>
      <c r="H20" s="61">
        <v>1654.18</v>
      </c>
      <c r="I20" s="61">
        <v>1695.95</v>
      </c>
      <c r="J20" s="61">
        <v>6699.87</v>
      </c>
    </row>
    <row r="21" spans="1:10" ht="18" customHeight="1">
      <c r="E21" s="54">
        <v>3</v>
      </c>
      <c r="F21" s="60">
        <v>45938</v>
      </c>
      <c r="G21" s="54">
        <v>33.5</v>
      </c>
      <c r="H21" s="61">
        <v>1662.45</v>
      </c>
      <c r="I21" s="61">
        <v>1695.95</v>
      </c>
      <c r="J21" s="61">
        <v>5037.42</v>
      </c>
    </row>
    <row r="22" spans="1:10" ht="18" customHeight="1">
      <c r="E22" s="54">
        <v>4</v>
      </c>
      <c r="F22" s="60">
        <v>45939</v>
      </c>
      <c r="G22" s="54">
        <v>25.19</v>
      </c>
      <c r="H22" s="61">
        <v>1670.76</v>
      </c>
      <c r="I22" s="61">
        <v>1695.95</v>
      </c>
      <c r="J22" s="61">
        <v>3366.66</v>
      </c>
    </row>
    <row r="23" spans="1:10" ht="18" customHeight="1">
      <c r="E23" s="54">
        <v>5</v>
      </c>
      <c r="F23" s="60">
        <v>45940</v>
      </c>
      <c r="G23" s="54">
        <v>16.829999999999998</v>
      </c>
      <c r="H23" s="61">
        <v>1679.12</v>
      </c>
      <c r="I23" s="61">
        <v>1695.95</v>
      </c>
      <c r="J23" s="61">
        <v>1687.54</v>
      </c>
    </row>
    <row r="24" spans="1:10" ht="18" customHeight="1">
      <c r="E24" s="54">
        <v>6</v>
      </c>
      <c r="F24" s="60">
        <v>45941</v>
      </c>
      <c r="G24" s="54">
        <v>8.44</v>
      </c>
      <c r="H24" s="61">
        <v>1687.51</v>
      </c>
      <c r="I24" s="61">
        <v>1695.95</v>
      </c>
      <c r="J24" s="54">
        <v>0</v>
      </c>
    </row>
    <row r="25" spans="1:10" ht="18" customHeight="1">
      <c r="B25" s="62" t="s">
        <v>95</v>
      </c>
    </row>
    <row r="26" spans="1:10" ht="18" customHeight="1">
      <c r="B26" t="s">
        <v>96</v>
      </c>
    </row>
    <row r="27" spans="1:10" ht="18" customHeight="1">
      <c r="B27" t="s">
        <v>97</v>
      </c>
    </row>
    <row r="28" spans="1:10" ht="18" customHeight="1">
      <c r="A28" s="52">
        <v>1</v>
      </c>
      <c r="B28" s="52" t="s">
        <v>103</v>
      </c>
    </row>
    <row r="29" spans="1:10" ht="18" customHeight="1">
      <c r="B29" t="s">
        <v>98</v>
      </c>
    </row>
    <row r="30" spans="1:10" ht="18" customHeight="1">
      <c r="B30" t="s">
        <v>99</v>
      </c>
    </row>
    <row r="31" spans="1:10" ht="18" customHeight="1">
      <c r="B31" t="s">
        <v>100</v>
      </c>
    </row>
    <row r="32" spans="1:10" ht="18" customHeight="1">
      <c r="B32" t="s">
        <v>101</v>
      </c>
    </row>
    <row r="33" spans="2:2" ht="18" customHeight="1">
      <c r="B33" t="s">
        <v>102</v>
      </c>
    </row>
    <row r="35" spans="2:2" ht="18" customHeight="1">
      <c r="B35" s="52" t="s">
        <v>104</v>
      </c>
    </row>
    <row r="36" spans="2:2" ht="18" customHeight="1">
      <c r="B36" s="57" t="s">
        <v>105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162468-5AC6-4AD3-AE4F-0224946108E6}">
  <dimension ref="A4:G43"/>
  <sheetViews>
    <sheetView tabSelected="1" topLeftCell="A25" workbookViewId="0">
      <selection activeCell="I39" sqref="I39"/>
    </sheetView>
  </sheetViews>
  <sheetFormatPr baseColWidth="10" defaultRowHeight="14.4"/>
  <cols>
    <col min="1" max="3" width="11.5546875" style="15"/>
    <col min="4" max="4" width="15.5546875" style="15" customWidth="1"/>
    <col min="5" max="16384" width="11.5546875" style="15"/>
  </cols>
  <sheetData>
    <row r="4" spans="2:7" ht="23.4">
      <c r="B4" s="81" t="s">
        <v>116</v>
      </c>
    </row>
    <row r="6" spans="2:7">
      <c r="B6" s="15" t="s">
        <v>217</v>
      </c>
    </row>
    <row r="7" spans="2:7">
      <c r="B7" s="15" t="s">
        <v>106</v>
      </c>
    </row>
    <row r="9" spans="2:7">
      <c r="B9" s="74" t="s">
        <v>107</v>
      </c>
      <c r="C9" s="74" t="s">
        <v>110</v>
      </c>
      <c r="D9" s="74" t="s">
        <v>58</v>
      </c>
      <c r="E9" s="74" t="s">
        <v>109</v>
      </c>
      <c r="F9" s="74" t="s">
        <v>108</v>
      </c>
      <c r="G9" s="74" t="s">
        <v>93</v>
      </c>
    </row>
    <row r="10" spans="2:7">
      <c r="B10" s="64">
        <v>1</v>
      </c>
      <c r="C10" s="64">
        <v>50</v>
      </c>
      <c r="D10" s="65">
        <v>1645.9546</v>
      </c>
      <c r="E10" s="65">
        <v>1695.9546</v>
      </c>
      <c r="F10" s="65">
        <v>10000</v>
      </c>
      <c r="G10" s="65">
        <v>8354.0454000000009</v>
      </c>
    </row>
    <row r="11" spans="2:7">
      <c r="B11" s="64">
        <v>2</v>
      </c>
      <c r="C11" s="64">
        <v>41.770200000000003</v>
      </c>
      <c r="D11" s="65">
        <v>1654.1842999999999</v>
      </c>
      <c r="E11" s="65">
        <v>1695.9546</v>
      </c>
      <c r="F11" s="65">
        <v>8354.0454000000009</v>
      </c>
      <c r="G11" s="65">
        <v>6699.8611000000001</v>
      </c>
    </row>
    <row r="12" spans="2:7">
      <c r="B12" s="64">
        <v>3</v>
      </c>
      <c r="C12" s="64">
        <v>33.499299999999998</v>
      </c>
      <c r="D12" s="65">
        <v>1662.4553000000001</v>
      </c>
      <c r="E12" s="65">
        <v>1695.9546</v>
      </c>
      <c r="F12" s="65">
        <v>6699.8611000000001</v>
      </c>
      <c r="G12" s="65">
        <v>5037.4058999999997</v>
      </c>
    </row>
    <row r="13" spans="2:7">
      <c r="B13" s="64">
        <v>4</v>
      </c>
      <c r="C13" s="64">
        <v>25.187000000000001</v>
      </c>
      <c r="D13" s="65">
        <v>1670.7674999999999</v>
      </c>
      <c r="E13" s="65">
        <v>1695.9546</v>
      </c>
      <c r="F13" s="65">
        <v>5037.4058999999997</v>
      </c>
      <c r="G13" s="65">
        <v>3366.6383000000001</v>
      </c>
    </row>
    <row r="14" spans="2:7">
      <c r="B14" s="64">
        <v>5</v>
      </c>
      <c r="C14" s="64">
        <v>16.833200000000001</v>
      </c>
      <c r="D14" s="65">
        <v>1679.1214</v>
      </c>
      <c r="E14" s="65">
        <v>1695.9546</v>
      </c>
      <c r="F14" s="65">
        <v>3366.6383000000001</v>
      </c>
      <c r="G14" s="65">
        <v>1687.5170000000001</v>
      </c>
    </row>
    <row r="15" spans="2:7">
      <c r="B15" s="64">
        <v>6</v>
      </c>
      <c r="C15" s="64">
        <v>8.4375999999999998</v>
      </c>
      <c r="D15" s="65">
        <v>1687.5170000000001</v>
      </c>
      <c r="E15" s="65">
        <v>1695.9546</v>
      </c>
      <c r="F15" s="65">
        <v>1687.5170000000001</v>
      </c>
      <c r="G15" s="64">
        <v>0</v>
      </c>
    </row>
    <row r="18" spans="1:2">
      <c r="A18" s="75" t="s">
        <v>127</v>
      </c>
      <c r="B18" s="15" t="s">
        <v>117</v>
      </c>
    </row>
    <row r="19" spans="1:2">
      <c r="B19" s="76" t="s">
        <v>118</v>
      </c>
    </row>
    <row r="20" spans="1:2">
      <c r="B20" s="76" t="s">
        <v>119</v>
      </c>
    </row>
    <row r="21" spans="1:2">
      <c r="B21" s="76" t="s">
        <v>120</v>
      </c>
    </row>
    <row r="22" spans="1:2">
      <c r="B22" s="76" t="s">
        <v>121</v>
      </c>
    </row>
    <row r="23" spans="1:2">
      <c r="B23" s="15" t="s">
        <v>111</v>
      </c>
    </row>
    <row r="24" spans="1:2">
      <c r="B24" s="76" t="s">
        <v>122</v>
      </c>
    </row>
    <row r="25" spans="1:2">
      <c r="B25" s="76" t="s">
        <v>123</v>
      </c>
    </row>
    <row r="28" spans="1:2">
      <c r="A28" s="75" t="s">
        <v>114</v>
      </c>
      <c r="B28" s="15" t="s">
        <v>115</v>
      </c>
    </row>
    <row r="29" spans="1:2">
      <c r="B29" s="15" t="s">
        <v>124</v>
      </c>
    </row>
    <row r="30" spans="1:2">
      <c r="B30" s="76" t="s">
        <v>112</v>
      </c>
    </row>
    <row r="31" spans="1:2">
      <c r="B31" s="76" t="s">
        <v>113</v>
      </c>
    </row>
    <row r="32" spans="1:2">
      <c r="B32" s="76" t="s">
        <v>125</v>
      </c>
    </row>
    <row r="33" spans="2:6">
      <c r="B33" s="77" t="s">
        <v>126</v>
      </c>
    </row>
    <row r="35" spans="2:6">
      <c r="B35" s="15" t="s">
        <v>128</v>
      </c>
    </row>
    <row r="37" spans="2:6" ht="28.8">
      <c r="B37" s="74" t="s">
        <v>129</v>
      </c>
      <c r="C37" s="74" t="s">
        <v>130</v>
      </c>
      <c r="D37" s="74" t="s">
        <v>131</v>
      </c>
      <c r="E37" s="74" t="s">
        <v>132</v>
      </c>
      <c r="F37" s="74" t="s">
        <v>93</v>
      </c>
    </row>
    <row r="38" spans="2:6">
      <c r="B38" s="64">
        <v>1</v>
      </c>
      <c r="C38" s="64">
        <v>23.666799999999999</v>
      </c>
      <c r="D38" s="65">
        <v>1672.2878000000001</v>
      </c>
      <c r="E38" s="65">
        <v>1695.9546</v>
      </c>
      <c r="F38" s="65">
        <v>3061.0727000000002</v>
      </c>
    </row>
    <row r="39" spans="2:6">
      <c r="B39" s="64">
        <v>2</v>
      </c>
      <c r="C39" s="64">
        <v>15.305400000000001</v>
      </c>
      <c r="D39" s="65">
        <v>1680.6492000000001</v>
      </c>
      <c r="E39" s="65">
        <v>1695.9546</v>
      </c>
      <c r="F39" s="65">
        <v>1380.4235000000001</v>
      </c>
    </row>
    <row r="40" spans="2:6" ht="43.2">
      <c r="B40" s="64" t="s">
        <v>133</v>
      </c>
      <c r="C40" s="64">
        <v>6.9020999999999999</v>
      </c>
      <c r="D40" s="65">
        <v>1689.0524</v>
      </c>
      <c r="E40" s="64" t="s">
        <v>220</v>
      </c>
      <c r="F40" s="64">
        <v>0</v>
      </c>
    </row>
    <row r="41" spans="2:6">
      <c r="B41" s="82"/>
      <c r="C41" s="82"/>
      <c r="D41" s="83"/>
      <c r="E41" s="84"/>
      <c r="F41" s="82"/>
    </row>
    <row r="42" spans="2:6">
      <c r="B42" s="76" t="s">
        <v>218</v>
      </c>
    </row>
    <row r="43" spans="2:6">
      <c r="B43" s="76" t="s">
        <v>219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A427C4-DFB1-456F-BA43-6C8FF91BBB8F}">
  <dimension ref="B2:B18"/>
  <sheetViews>
    <sheetView workbookViewId="0">
      <selection activeCell="B3" sqref="B3"/>
    </sheetView>
  </sheetViews>
  <sheetFormatPr baseColWidth="10" defaultRowHeight="14.4"/>
  <cols>
    <col min="1" max="1" width="11.5546875" style="15"/>
    <col min="2" max="2" width="167.77734375" style="15" bestFit="1" customWidth="1"/>
    <col min="3" max="16384" width="11.5546875" style="15"/>
  </cols>
  <sheetData>
    <row r="2" spans="2:2" ht="28.8">
      <c r="B2" s="63" t="s">
        <v>140</v>
      </c>
    </row>
    <row r="3" spans="2:2">
      <c r="B3" s="24" t="s">
        <v>134</v>
      </c>
    </row>
    <row r="4" spans="2:2">
      <c r="B4" s="78" t="s">
        <v>213</v>
      </c>
    </row>
    <row r="5" spans="2:2">
      <c r="B5" s="79" t="s">
        <v>207</v>
      </c>
    </row>
    <row r="6" spans="2:2">
      <c r="B6" s="78" t="s">
        <v>214</v>
      </c>
    </row>
    <row r="7" spans="2:2">
      <c r="B7" s="79" t="s">
        <v>135</v>
      </c>
    </row>
    <row r="8" spans="2:2">
      <c r="B8" s="79" t="s">
        <v>208</v>
      </c>
    </row>
    <row r="9" spans="2:2">
      <c r="B9" s="78" t="s">
        <v>215</v>
      </c>
    </row>
    <row r="10" spans="2:2">
      <c r="B10" s="79" t="s">
        <v>209</v>
      </c>
    </row>
    <row r="11" spans="2:2">
      <c r="B11" s="79" t="s">
        <v>210</v>
      </c>
    </row>
    <row r="12" spans="2:2">
      <c r="B12" s="79" t="s">
        <v>211</v>
      </c>
    </row>
    <row r="13" spans="2:2">
      <c r="B13" s="78" t="s">
        <v>216</v>
      </c>
    </row>
    <row r="14" spans="2:2">
      <c r="B14" s="79" t="s">
        <v>136</v>
      </c>
    </row>
    <row r="15" spans="2:2">
      <c r="B15" s="78" t="s">
        <v>137</v>
      </c>
    </row>
    <row r="16" spans="2:2">
      <c r="B16" s="79" t="s">
        <v>138</v>
      </c>
    </row>
    <row r="17" spans="2:2">
      <c r="B17" s="78" t="s">
        <v>139</v>
      </c>
    </row>
    <row r="18" spans="2:2">
      <c r="B18" s="80" t="s">
        <v>212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E57737-A373-46AB-982A-1F662EF08406}">
  <dimension ref="A2:G42"/>
  <sheetViews>
    <sheetView topLeftCell="A10" workbookViewId="0">
      <selection activeCell="E19" sqref="E19"/>
    </sheetView>
  </sheetViews>
  <sheetFormatPr baseColWidth="10" defaultRowHeight="18" customHeight="1"/>
  <cols>
    <col min="1" max="2" width="11.5546875" style="15"/>
    <col min="3" max="3" width="8.77734375" style="15" bestFit="1" customWidth="1"/>
    <col min="4" max="4" width="34.33203125" style="15" bestFit="1" customWidth="1"/>
    <col min="5" max="5" width="63.21875" style="15" customWidth="1"/>
    <col min="6" max="6" width="11.5546875" style="15"/>
    <col min="7" max="7" width="52.44140625" style="15" customWidth="1"/>
    <col min="8" max="16384" width="11.5546875" style="15"/>
  </cols>
  <sheetData>
    <row r="2" spans="1:7" ht="18" customHeight="1">
      <c r="B2" s="15" t="s">
        <v>141</v>
      </c>
    </row>
    <row r="4" spans="1:7" ht="18" customHeight="1">
      <c r="A4" s="15" t="s">
        <v>142</v>
      </c>
    </row>
    <row r="6" spans="1:7" ht="18" customHeight="1">
      <c r="C6" s="66" t="s">
        <v>143</v>
      </c>
      <c r="D6" s="67" t="s">
        <v>27</v>
      </c>
      <c r="E6" s="67" t="s">
        <v>144</v>
      </c>
    </row>
    <row r="7" spans="1:7" ht="44.4" customHeight="1">
      <c r="C7" s="68">
        <v>1</v>
      </c>
      <c r="D7" s="69" t="s">
        <v>145</v>
      </c>
      <c r="E7" s="70" t="s">
        <v>146</v>
      </c>
    </row>
    <row r="8" spans="1:7" ht="54.6" customHeight="1">
      <c r="C8" s="68">
        <v>2</v>
      </c>
      <c r="D8" s="69" t="s">
        <v>147</v>
      </c>
      <c r="E8" s="70" t="s">
        <v>148</v>
      </c>
    </row>
    <row r="9" spans="1:7" ht="41.4" customHeight="1">
      <c r="C9" s="68">
        <v>3</v>
      </c>
      <c r="D9" s="69" t="s">
        <v>149</v>
      </c>
      <c r="E9" s="70" t="s">
        <v>150</v>
      </c>
    </row>
    <row r="10" spans="1:7" ht="66.599999999999994" customHeight="1">
      <c r="C10" s="68">
        <v>4</v>
      </c>
      <c r="D10" s="69" t="s">
        <v>151</v>
      </c>
      <c r="E10" s="70" t="s">
        <v>154</v>
      </c>
    </row>
    <row r="11" spans="1:7" ht="73.2" customHeight="1">
      <c r="C11" s="68">
        <v>5</v>
      </c>
      <c r="D11" s="69" t="s">
        <v>152</v>
      </c>
      <c r="E11" s="70" t="s">
        <v>153</v>
      </c>
    </row>
    <row r="13" spans="1:7" ht="18" customHeight="1">
      <c r="G13" s="71" t="s">
        <v>155</v>
      </c>
    </row>
    <row r="14" spans="1:7" ht="18" customHeight="1">
      <c r="G14" s="19"/>
    </row>
    <row r="15" spans="1:7" ht="18" customHeight="1">
      <c r="G15" s="19" t="s">
        <v>156</v>
      </c>
    </row>
    <row r="16" spans="1:7" ht="18" customHeight="1">
      <c r="G16" s="19"/>
    </row>
    <row r="17" spans="7:7" ht="18" customHeight="1">
      <c r="G17" s="19" t="s">
        <v>157</v>
      </c>
    </row>
    <row r="18" spans="7:7" ht="18" customHeight="1">
      <c r="G18" s="19" t="s">
        <v>158</v>
      </c>
    </row>
    <row r="19" spans="7:7" ht="18" customHeight="1">
      <c r="G19" s="19" t="s">
        <v>159</v>
      </c>
    </row>
    <row r="20" spans="7:7" ht="18" customHeight="1">
      <c r="G20" s="19" t="s">
        <v>160</v>
      </c>
    </row>
    <row r="21" spans="7:7" ht="18" customHeight="1">
      <c r="G21" s="19"/>
    </row>
    <row r="22" spans="7:7" ht="18" customHeight="1">
      <c r="G22" s="19" t="s">
        <v>161</v>
      </c>
    </row>
    <row r="23" spans="7:7" ht="18" customHeight="1">
      <c r="G23" s="19" t="s">
        <v>162</v>
      </c>
    </row>
    <row r="24" spans="7:7" ht="18" customHeight="1">
      <c r="G24" s="19" t="s">
        <v>159</v>
      </c>
    </row>
    <row r="25" spans="7:7" ht="18" customHeight="1">
      <c r="G25" s="19" t="s">
        <v>163</v>
      </c>
    </row>
    <row r="26" spans="7:7" ht="18" customHeight="1">
      <c r="G26" s="19"/>
    </row>
    <row r="27" spans="7:7" ht="18" customHeight="1">
      <c r="G27" s="19" t="s">
        <v>164</v>
      </c>
    </row>
    <row r="28" spans="7:7" ht="18" customHeight="1">
      <c r="G28" s="19" t="s">
        <v>165</v>
      </c>
    </row>
    <row r="29" spans="7:7" ht="18" customHeight="1">
      <c r="G29" s="19" t="s">
        <v>166</v>
      </c>
    </row>
    <row r="30" spans="7:7" ht="18" customHeight="1">
      <c r="G30" s="19" t="s">
        <v>167</v>
      </c>
    </row>
    <row r="31" spans="7:7" ht="18" customHeight="1">
      <c r="G31" s="19" t="s">
        <v>168</v>
      </c>
    </row>
    <row r="32" spans="7:7" ht="18" customHeight="1">
      <c r="G32" s="19"/>
    </row>
    <row r="33" spans="7:7" ht="18" customHeight="1">
      <c r="G33" s="19" t="s">
        <v>169</v>
      </c>
    </row>
    <row r="34" spans="7:7" ht="18" customHeight="1">
      <c r="G34" s="19" t="s">
        <v>170</v>
      </c>
    </row>
    <row r="35" spans="7:7" ht="18" customHeight="1">
      <c r="G35" s="19" t="s">
        <v>171</v>
      </c>
    </row>
    <row r="36" spans="7:7" ht="18" customHeight="1">
      <c r="G36" s="19" t="s">
        <v>172</v>
      </c>
    </row>
    <row r="37" spans="7:7" ht="18" customHeight="1">
      <c r="G37" s="19"/>
    </row>
    <row r="38" spans="7:7" ht="18" customHeight="1">
      <c r="G38" s="19" t="s">
        <v>173</v>
      </c>
    </row>
    <row r="39" spans="7:7" ht="18" customHeight="1">
      <c r="G39" s="19" t="s">
        <v>174</v>
      </c>
    </row>
    <row r="40" spans="7:7" ht="18" customHeight="1">
      <c r="G40" s="19" t="s">
        <v>175</v>
      </c>
    </row>
    <row r="41" spans="7:7" ht="18" customHeight="1">
      <c r="G41" s="19" t="s">
        <v>176</v>
      </c>
    </row>
    <row r="42" spans="7:7" ht="18" customHeight="1">
      <c r="G42" s="19" t="s">
        <v>177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B6B88C-5EC0-44C9-9EEA-A1E2B48A6C94}">
  <dimension ref="B3:D20"/>
  <sheetViews>
    <sheetView topLeftCell="A6" workbookViewId="0">
      <selection activeCell="D19" sqref="D19"/>
    </sheetView>
  </sheetViews>
  <sheetFormatPr baseColWidth="10" defaultRowHeight="18" customHeight="1"/>
  <cols>
    <col min="2" max="2" width="28" bestFit="1" customWidth="1"/>
    <col min="3" max="3" width="58" bestFit="1" customWidth="1"/>
    <col min="4" max="4" width="40.21875" bestFit="1" customWidth="1"/>
  </cols>
  <sheetData>
    <row r="3" spans="2:4" ht="18" customHeight="1">
      <c r="B3" s="23" t="s">
        <v>27</v>
      </c>
      <c r="C3" s="23" t="s">
        <v>178</v>
      </c>
      <c r="D3" s="23" t="s">
        <v>179</v>
      </c>
    </row>
    <row r="4" spans="2:4" ht="42.6" customHeight="1">
      <c r="B4" s="54" t="s">
        <v>180</v>
      </c>
      <c r="C4" s="54" t="s">
        <v>181</v>
      </c>
      <c r="D4" s="54" t="s">
        <v>182</v>
      </c>
    </row>
    <row r="5" spans="2:4" ht="34.200000000000003" customHeight="1">
      <c r="B5" s="54" t="s">
        <v>183</v>
      </c>
      <c r="C5" s="54" t="s">
        <v>184</v>
      </c>
      <c r="D5" s="54" t="s">
        <v>185</v>
      </c>
    </row>
    <row r="6" spans="2:4" ht="37.200000000000003" customHeight="1">
      <c r="B6" s="54" t="s">
        <v>149</v>
      </c>
      <c r="C6" s="54" t="s">
        <v>186</v>
      </c>
      <c r="D6" s="54" t="s">
        <v>187</v>
      </c>
    </row>
    <row r="7" spans="2:4" ht="39.6" customHeight="1">
      <c r="B7" s="54" t="s">
        <v>188</v>
      </c>
      <c r="C7" s="54" t="s">
        <v>189</v>
      </c>
      <c r="D7" s="54" t="s">
        <v>190</v>
      </c>
    </row>
    <row r="8" spans="2:4" ht="39" customHeight="1">
      <c r="B8" s="54" t="s">
        <v>191</v>
      </c>
      <c r="C8" s="54" t="s">
        <v>192</v>
      </c>
      <c r="D8" s="54" t="s">
        <v>193</v>
      </c>
    </row>
    <row r="11" spans="2:4" ht="18" customHeight="1">
      <c r="B11" s="55" t="s">
        <v>27</v>
      </c>
      <c r="C11" s="55" t="s">
        <v>194</v>
      </c>
      <c r="D11" s="55" t="s">
        <v>195</v>
      </c>
    </row>
    <row r="12" spans="2:4" ht="18" customHeight="1">
      <c r="B12" s="54" t="s">
        <v>180</v>
      </c>
      <c r="C12" s="54">
        <v>33.5</v>
      </c>
      <c r="D12" s="54" t="s">
        <v>196</v>
      </c>
    </row>
    <row r="13" spans="2:4" ht="18" customHeight="1">
      <c r="B13" s="54" t="s">
        <v>183</v>
      </c>
      <c r="C13" s="54">
        <v>0</v>
      </c>
      <c r="D13" s="54" t="s">
        <v>197</v>
      </c>
    </row>
    <row r="14" spans="2:4" ht="18" customHeight="1">
      <c r="B14" s="54" t="s">
        <v>198</v>
      </c>
      <c r="C14" s="61">
        <v>1662.46</v>
      </c>
      <c r="D14" s="54" t="s">
        <v>199</v>
      </c>
    </row>
    <row r="15" spans="2:4" ht="18" customHeight="1">
      <c r="B15" s="54" t="s">
        <v>200</v>
      </c>
      <c r="C15" s="54">
        <v>304.05</v>
      </c>
      <c r="D15" s="54" t="s">
        <v>201</v>
      </c>
    </row>
    <row r="16" spans="2:4" ht="18" customHeight="1">
      <c r="B16" s="53" t="s">
        <v>202</v>
      </c>
      <c r="C16" s="72">
        <v>2000</v>
      </c>
      <c r="D16" s="54" t="s">
        <v>203</v>
      </c>
    </row>
    <row r="18" spans="2:2" ht="18" customHeight="1">
      <c r="B18" s="73" t="s">
        <v>204</v>
      </c>
    </row>
    <row r="19" spans="2:2" ht="18" customHeight="1">
      <c r="B19" s="22" t="s">
        <v>205</v>
      </c>
    </row>
    <row r="20" spans="2:2" ht="18" customHeight="1">
      <c r="B20" s="22" t="s">
        <v>206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1540E2-E77F-4F9D-9880-08C880A14972}">
  <dimension ref="A1"/>
  <sheetViews>
    <sheetView topLeftCell="A37" zoomScale="85" workbookViewId="0">
      <selection activeCell="L59" sqref="L59"/>
    </sheetView>
  </sheetViews>
  <sheetFormatPr baseColWidth="10" defaultRowHeight="14.4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Formula</vt:lpstr>
      <vt:lpstr>Plan de pago interes diario</vt:lpstr>
      <vt:lpstr>Cuota nivelada</vt:lpstr>
      <vt:lpstr>Tablas plan de pago 0</vt:lpstr>
      <vt:lpstr>1-Pago anticipado</vt:lpstr>
      <vt:lpstr>2- Pago anticipado</vt:lpstr>
      <vt:lpstr>3-Reglas de negocio</vt:lpstr>
      <vt:lpstr>4-Detalle</vt:lpstr>
      <vt:lpstr>Flujo del pago anticipado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Isaac Adolfo Avilés Rosales</dc:creator>
  <cp:lastModifiedBy>Isaac Adolfo Avilés Rosales</cp:lastModifiedBy>
  <dcterms:created xsi:type="dcterms:W3CDTF">2025-10-14T20:32:46Z</dcterms:created>
  <dcterms:modified xsi:type="dcterms:W3CDTF">2025-11-04T19:16:28Z</dcterms:modified>
</cp:coreProperties>
</file>